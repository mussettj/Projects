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jcwresourcing-my.sharepoint.com/personal/jess_mussett_xandertalent_com/Documents/Documents/XANDER PROJECTS/Excel course/"/>
    </mc:Choice>
  </mc:AlternateContent>
  <xr:revisionPtr revIDLastSave="167" documentId="8_{030E93AE-BE85-48A2-B6FA-E097EC712CD3}" xr6:coauthVersionLast="47" xr6:coauthVersionMax="47" xr10:uidLastSave="{1BB6D758-E120-45FB-A244-DDE7573A9675}"/>
  <bookViews>
    <workbookView xWindow="-108" yWindow="-108" windowWidth="18648" windowHeight="11904" xr2:uid="{00000000-000D-0000-FFFF-FFFF00000000}"/>
  </bookViews>
  <sheets>
    <sheet name="Dashboard" sheetId="2" r:id="rId1"/>
    <sheet name="Data" sheetId="1" r:id="rId2"/>
    <sheet name="Quarterly Calculations" sheetId="4" r:id="rId3"/>
    <sheet name="Year Calculations" sheetId="3" r:id="rId4"/>
    <sheet name="Timeline PivotTable" sheetId="5" r:id="rId5"/>
  </sheets>
  <definedNames>
    <definedName name="Data_Table">Data!$A$6:$J$38</definedName>
    <definedName name="Date">Data!$A$8:$A$38</definedName>
    <definedName name="Timeline_Date">#N/A</definedName>
  </definedNames>
  <calcPr calcId="191028" concurrentCalc="0"/>
  <pivotCaches>
    <pivotCache cacheId="0" r:id="rId6"/>
    <pivotCache cacheId="1" r:id="rId7"/>
    <pivotCache cacheId="2" r:id="rId8"/>
    <pivotCache cacheId="3" r:id="rId9"/>
    <pivotCache cacheId="4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5" r:id="rId11"/>
      </x15:timelineCachePivotCaches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FCE2AD5D-F65C-4FA6-A056-5C36A1767C68}">
      <x15:dataModel>
        <x15:modelTables>
          <x15:modelTable id="Data_Table" name="Data_Table" connection="WorksheetConnection_Xander Fuel - Jess.xlsx!Data_Table"/>
        </x15:modelTables>
        <x15:extLst>
          <ext xmlns:x16="http://schemas.microsoft.com/office/spreadsheetml/2014/11/main" uri="{9835A34E-60A6-4A7C-AAB8-D5F71C897F49}">
            <x16:modelTimeGroupings>
              <x16:modelTimeGrouping tableName="Data_Table" columnName="Date" columnId="Date">
                <x16:calculatedTimeColumn columnName="Date (Quarter)" columnId="Date (Quarter)" contentType="quarters" isSelected="0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4" l="1"/>
  <c r="C9" i="4"/>
  <c r="B9" i="4"/>
  <c r="C8" i="2"/>
  <c r="C10" i="2"/>
  <c r="H5" i="1"/>
  <c r="G3" i="2"/>
  <c r="I3" i="2"/>
  <c r="H3" i="2"/>
  <c r="C3" i="2"/>
  <c r="D5" i="2"/>
  <c r="B10" i="2"/>
  <c r="B5" i="2"/>
  <c r="D3" i="2"/>
  <c r="C5" i="2"/>
  <c r="J40" i="1"/>
  <c r="I40" i="1"/>
  <c r="F40" i="1"/>
  <c r="E40" i="1"/>
  <c r="D4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10" i="1"/>
  <c r="J9" i="1"/>
  <c r="J8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11" i="1"/>
  <c r="I12" i="1"/>
  <c r="I13" i="1"/>
  <c r="I14" i="1"/>
  <c r="I15" i="1"/>
  <c r="I16" i="1"/>
  <c r="I17" i="1"/>
  <c r="I10" i="1"/>
  <c r="I9" i="1"/>
  <c r="I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8" i="1"/>
  <c r="E31" i="1"/>
  <c r="E32" i="1"/>
  <c r="E33" i="1"/>
  <c r="E34" i="1"/>
  <c r="E35" i="1"/>
  <c r="E36" i="1"/>
  <c r="E37" i="1"/>
  <c r="E38" i="1"/>
  <c r="E20" i="1"/>
  <c r="E21" i="1"/>
  <c r="E22" i="1"/>
  <c r="E23" i="1"/>
  <c r="E24" i="1"/>
  <c r="E25" i="1"/>
  <c r="E26" i="1"/>
  <c r="E27" i="1"/>
  <c r="E28" i="1"/>
  <c r="E29" i="1"/>
  <c r="E30" i="1"/>
  <c r="E10" i="1"/>
  <c r="E11" i="1"/>
  <c r="E12" i="1"/>
  <c r="E13" i="1"/>
  <c r="E14" i="1"/>
  <c r="E15" i="1"/>
  <c r="E16" i="1"/>
  <c r="E17" i="1"/>
  <c r="E18" i="1"/>
  <c r="E19" i="1"/>
  <c r="E9" i="1"/>
  <c r="E8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9" i="1"/>
  <c r="G10" i="1"/>
  <c r="G11" i="1"/>
  <c r="G12" i="1"/>
  <c r="G13" i="1"/>
  <c r="G14" i="1"/>
  <c r="G15" i="1"/>
  <c r="G16" i="1"/>
  <c r="G17" i="1"/>
  <c r="G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40FB97-1631-4DCB-81E7-A980DFB1A83E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C9086C7-77B8-4D7F-8166-DFC04701D3F1}" name="WorksheetConnection_Xander Fuel - Jess.xlsx!Data_Table" type="102" refreshedVersion="7" minRefreshableVersion="5">
    <extLst>
      <ext xmlns:x15="http://schemas.microsoft.com/office/spreadsheetml/2010/11/main" uri="{DE250136-89BD-433C-8126-D09CA5730AF9}">
        <x15:connection id="Data_Table" autoDelete="1">
          <x15:rangePr sourceName="Data_Table"/>
        </x15:connection>
      </ext>
    </extLst>
  </connection>
</connections>
</file>

<file path=xl/sharedStrings.xml><?xml version="1.0" encoding="utf-8"?>
<sst xmlns="http://schemas.openxmlformats.org/spreadsheetml/2006/main" count="108" uniqueCount="54">
  <si>
    <t>Date</t>
  </si>
  <si>
    <t>Miles</t>
  </si>
  <si>
    <t>Gallons</t>
  </si>
  <si>
    <t>Cost</t>
  </si>
  <si>
    <t>Price Per Gallon</t>
  </si>
  <si>
    <t>Miles Accumulated</t>
  </si>
  <si>
    <t>Miles Per Gallon</t>
  </si>
  <si>
    <t>Kilometres Accumulated</t>
  </si>
  <si>
    <t>Miles since purchase</t>
  </si>
  <si>
    <t>Kilometres since purchase</t>
  </si>
  <si>
    <t>Row Labels</t>
  </si>
  <si>
    <t>Grand Total</t>
  </si>
  <si>
    <t>&lt;01/01/2020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</si>
  <si>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</si>
  <si>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</si>
  <si>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</si>
  <si>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</si>
  <si>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</si>
  <si>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</si>
  <si>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</si>
  <si>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</si>
  <si>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</si>
  <si>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</si>
  <si>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</si>
  <si>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</si>
  <si>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Sum of Miles Accumulated</t>
  </si>
  <si>
    <t>Cost of Refuelling:</t>
  </si>
  <si>
    <t>Cost of Fuel per Gallon:</t>
  </si>
  <si>
    <t xml:space="preserve">Total miles to date: </t>
  </si>
  <si>
    <t>Sum of Cost</t>
  </si>
  <si>
    <t>Sum of Gallons</t>
  </si>
  <si>
    <t>Selected Quarter:</t>
  </si>
  <si>
    <t>1st Quarter</t>
  </si>
  <si>
    <t>2nd Quarter</t>
  </si>
  <si>
    <t>3rd Quarter</t>
  </si>
  <si>
    <t>4th Quarter</t>
  </si>
  <si>
    <t>Total Cost of Refuelling:</t>
  </si>
  <si>
    <t>Total Gallons Purchased:</t>
  </si>
  <si>
    <t>Miles per Gallon:</t>
  </si>
  <si>
    <t>Miles since last refuelling:</t>
  </si>
  <si>
    <t>Selected Date of Refuelling:</t>
  </si>
  <si>
    <t>Quarter</t>
  </si>
  <si>
    <t>Total Distance Travelled:</t>
  </si>
  <si>
    <t>Total Refuelling Cost:</t>
  </si>
  <si>
    <t>Average of Miles Per Gallon</t>
  </si>
  <si>
    <t>Average of Price Per Gallon</t>
  </si>
  <si>
    <t>BY QUARTER</t>
  </si>
  <si>
    <t>BY    YEAR</t>
  </si>
  <si>
    <t>Average Price Per Gallon</t>
  </si>
  <si>
    <t>Months</t>
  </si>
  <si>
    <t>Average Miles Per Gallon</t>
  </si>
  <si>
    <t>BY     DATE</t>
  </si>
  <si>
    <t>VARIABLE MILEAGE AND COST ANALYSIS FOR CAR</t>
  </si>
  <si>
    <t>Yearly 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</si>
</sst>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* #,##0_);_(* \(#,##0\);_(* &quot;-&quot;??_);_(@_)"/>
    <numFmt numFmtId="167" formatCode="_-[$£-809]* #,##0.00_-;\-[$£-809]* #,##0.00_-;_-[$£-809]* &quot;-&quot;??_-;_-@_-"/>
    <numFmt numFmtId="168" formatCode="&quot;£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1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Alignment="0"/>
  </cellStyleXfs>
  <cellXfs count="51">
    <xf numFmtId="0" fontId="0" fillId="0" borderId="0" xfId="0"/>
    <xf numFmtId="14" fontId="0" fillId="0" borderId="0" xfId="0" applyNumberFormat="1"/>
    <xf numFmtId="14" fontId="2" fillId="0" borderId="0" xfId="0" applyNumberFormat="1" applyFont="1"/>
    <xf numFmtId="2" fontId="2" fillId="0" borderId="0" xfId="0" applyNumberFormat="1" applyFont="1"/>
    <xf numFmtId="2" fontId="0" fillId="0" borderId="0" xfId="0" applyNumberFormat="1"/>
    <xf numFmtId="164" fontId="2" fillId="0" borderId="0" xfId="2" applyFont="1"/>
    <xf numFmtId="164" fontId="0" fillId="0" borderId="0" xfId="2" applyFont="1"/>
    <xf numFmtId="166" fontId="2" fillId="0" borderId="0" xfId="1" applyNumberFormat="1" applyFont="1"/>
    <xf numFmtId="166" fontId="0" fillId="0" borderId="0" xfId="1" applyNumberFormat="1" applyFont="1"/>
    <xf numFmtId="166" fontId="1" fillId="0" borderId="0" xfId="1" applyNumberFormat="1" applyFont="1"/>
    <xf numFmtId="164" fontId="1" fillId="0" borderId="0" xfId="2" applyFont="1"/>
    <xf numFmtId="0" fontId="2" fillId="0" borderId="0" xfId="0" applyFont="1"/>
    <xf numFmtId="167" fontId="0" fillId="0" borderId="0" xfId="2" applyNumberFormat="1" applyFont="1"/>
    <xf numFmtId="43" fontId="0" fillId="0" borderId="0" xfId="0" applyNumberFormat="1"/>
    <xf numFmtId="167" fontId="0" fillId="0" borderId="0" xfId="0" applyNumberFormat="1"/>
    <xf numFmtId="2" fontId="0" fillId="0" borderId="0" xfId="2" applyNumberFormat="1" applyFont="1"/>
    <xf numFmtId="2" fontId="2" fillId="0" borderId="0" xfId="2" applyNumberFormat="1" applyFont="1"/>
    <xf numFmtId="2" fontId="1" fillId="0" borderId="0" xfId="2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ont="1"/>
    <xf numFmtId="2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8" fontId="0" fillId="0" borderId="1" xfId="2" applyNumberFormat="1" applyFont="1" applyBorder="1" applyAlignment="1">
      <alignment horizontal="center" vertical="center"/>
    </xf>
    <xf numFmtId="0" fontId="2" fillId="6" borderId="1" xfId="7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8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2" fillId="6" borderId="4" xfId="7" applyFont="1" applyBorder="1" applyAlignment="1">
      <alignment horizontal="center" vertical="center"/>
    </xf>
    <xf numFmtId="0" fontId="2" fillId="4" borderId="1" xfId="5" applyFont="1" applyBorder="1" applyAlignment="1">
      <alignment horizontal="center" vertical="center"/>
    </xf>
    <xf numFmtId="0" fontId="1" fillId="9" borderId="0" xfId="10"/>
    <xf numFmtId="0" fontId="1" fillId="9" borderId="0" xfId="10" applyAlignment="1">
      <alignment horizontal="center"/>
    </xf>
    <xf numFmtId="0" fontId="1" fillId="9" borderId="0" xfId="10" applyAlignment="1">
      <alignment horizontal="center" vertical="center"/>
    </xf>
    <xf numFmtId="168" fontId="2" fillId="8" borderId="2" xfId="9" applyNumberFormat="1" applyFont="1" applyBorder="1" applyAlignment="1">
      <alignment horizontal="center" vertical="center"/>
    </xf>
    <xf numFmtId="0" fontId="1" fillId="3" borderId="1" xfId="4" applyBorder="1" applyAlignment="1">
      <alignment horizontal="center" vertical="center"/>
    </xf>
    <xf numFmtId="14" fontId="1" fillId="5" borderId="1" xfId="6" applyNumberFormat="1" applyBorder="1" applyAlignment="1">
      <alignment horizontal="center" vertical="center"/>
    </xf>
    <xf numFmtId="165" fontId="0" fillId="0" borderId="0" xfId="1" applyFont="1"/>
    <xf numFmtId="0" fontId="0" fillId="0" borderId="2" xfId="1" applyNumberFormat="1" applyFont="1" applyBorder="1" applyAlignment="1">
      <alignment horizontal="center" vertical="center"/>
    </xf>
    <xf numFmtId="168" fontId="2" fillId="8" borderId="1" xfId="9" applyNumberFormat="1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7" borderId="0" xfId="8" applyAlignment="1">
      <alignment horizontal="center" vertical="center" wrapText="1"/>
    </xf>
    <xf numFmtId="0" fontId="1" fillId="2" borderId="0" xfId="3" applyAlignment="1">
      <alignment horizontal="center" vertical="center"/>
    </xf>
    <xf numFmtId="0" fontId="1" fillId="5" borderId="0" xfId="6" applyAlignment="1">
      <alignment horizontal="center" vertical="center" wrapText="1"/>
    </xf>
    <xf numFmtId="0" fontId="1" fillId="3" borderId="0" xfId="4" applyAlignment="1">
      <alignment horizontal="center" vertical="center" wrapText="1"/>
    </xf>
    <xf numFmtId="0" fontId="2" fillId="10" borderId="5" xfId="0" applyFont="1" applyFill="1" applyBorder="1" applyAlignment="1">
      <alignment horizontal="left"/>
    </xf>
    <xf numFmtId="2" fontId="2" fillId="10" borderId="5" xfId="0" applyNumberFormat="1" applyFont="1" applyFill="1" applyBorder="1"/>
    <xf numFmtId="0" fontId="2" fillId="10" borderId="5" xfId="0" applyNumberFormat="1" applyFont="1" applyFill="1" applyBorder="1"/>
  </cellXfs>
  <cellStyles count="11">
    <cellStyle name="20% - Accent3" xfId="3" builtinId="38"/>
    <cellStyle name="20% - Accent4" xfId="4" builtinId="42"/>
    <cellStyle name="20% - Accent5" xfId="6" builtinId="46"/>
    <cellStyle name="20% - Accent6" xfId="8" builtinId="50"/>
    <cellStyle name="60% - Accent4" xfId="5" builtinId="44"/>
    <cellStyle name="60% - Accent5" xfId="7" builtinId="48"/>
    <cellStyle name="60% - Accent6" xfId="9" builtinId="52"/>
    <cellStyle name="Blank" xfId="10" xr:uid="{F2AB45FB-A01F-4683-A433-84B395A1F6DC}"/>
    <cellStyle name="Comma" xfId="1" builtinId="3"/>
    <cellStyle name="Currency" xfId="2" builtinId="4"/>
    <cellStyle name="Normal" xfId="0" builtinId="0"/>
  </cellStyles>
  <dxfs count="2">
    <dxf>
      <numFmt numFmtId="2" formatCode="0.00"/>
    </dxf>
    <dxf>
      <numFmt numFmtId="2" formatCode="0.00"/>
    </dxf>
  </dxfs>
  <tableStyles count="1" defaultTableStyle="TableStyleMedium2" defaultPivotStyle="PivotStyleLight16">
    <tableStyle name="Table Style 1" pivot="0" count="0" xr9:uid="{68F519A1-13B1-4520-9AC3-DBCBDF52B4F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pivotCacheDefinition" Target="pivotCache/pivotCacheDefinition2.xml"/><Relationship Id="rId12" Type="http://schemas.microsoft.com/office/2011/relationships/timelineCache" Target="timelineCaches/timelineCach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pivotCacheDefinition" Target="pivotCache/pivotCacheDefinition5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1598976402278256E-2"/>
          <c:y val="8.8959190210286282E-2"/>
          <c:w val="0.76343632448167464"/>
          <c:h val="0.65947479054472702"/>
        </c:manualLayout>
      </c:layout>
      <c:barChart>
        <c:barDir val="col"/>
        <c:grouping val="clustered"/>
        <c:varyColors val="0"/>
        <c:ser>
          <c:idx val="0"/>
          <c:order val="0"/>
          <c:tx>
            <c:v>Sum of Cost</c:v>
          </c:tx>
          <c:spPr>
            <a:solidFill>
              <a:schemeClr val="accent4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F0D4EA7-B301-48D9-82B7-C88CAE3BBA9B}" type="VALUE">
                      <a:rPr lang="en-US"/>
                      <a:pPr/>
                      <a:t>[VALUE]</a:t>
                    </a:fld>
                    <a:endParaRPr lang="en-GB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16EA-4FFD-8F6E-E8EF8CA074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1st Quarter</c:v>
              </c:pt>
              <c:pt idx="1">
                <c:v>2nd Quarter</c:v>
              </c:pt>
              <c:pt idx="2">
                <c:v>3rd Quarter</c:v>
              </c:pt>
              <c:pt idx="3">
                <c:v>4th Quarter</c:v>
              </c:pt>
            </c:strLit>
          </c:cat>
          <c:val>
            <c:numLit>
              <c:formatCode>General</c:formatCode>
              <c:ptCount val="4"/>
              <c:pt idx="0">
                <c:v>396.7</c:v>
              </c:pt>
              <c:pt idx="1">
                <c:v>253.22999999999996</c:v>
              </c:pt>
              <c:pt idx="2">
                <c:v>333.16999999999996</c:v>
              </c:pt>
              <c:pt idx="3">
                <c:v>287.82000000000005</c:v>
              </c:pt>
            </c:numLit>
          </c:val>
          <c:extLst>
            <c:ext xmlns:c16="http://schemas.microsoft.com/office/drawing/2014/chart" uri="{C3380CC4-5D6E-409C-BE32-E72D297353CC}">
              <c16:uniqueId val="{00000001-16EA-4FFD-8F6E-E8EF8CA07491}"/>
            </c:ext>
          </c:extLst>
        </c:ser>
        <c:ser>
          <c:idx val="1"/>
          <c:order val="1"/>
          <c:tx>
            <c:v>Sum of Gallons</c:v>
          </c:tx>
          <c:spPr>
            <a:solidFill>
              <a:schemeClr val="accent4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1st Quarter</c:v>
              </c:pt>
              <c:pt idx="1">
                <c:v>2nd Quarter</c:v>
              </c:pt>
              <c:pt idx="2">
                <c:v>3rd Quarter</c:v>
              </c:pt>
              <c:pt idx="3">
                <c:v>4th Quarter</c:v>
              </c:pt>
            </c:strLit>
          </c:cat>
          <c:val>
            <c:numLit>
              <c:formatCode>General</c:formatCode>
              <c:ptCount val="4"/>
              <c:pt idx="0">
                <c:v>109.13000000000001</c:v>
              </c:pt>
              <c:pt idx="1">
                <c:v>66.740000000000009</c:v>
              </c:pt>
              <c:pt idx="2">
                <c:v>90.47</c:v>
              </c:pt>
              <c:pt idx="3">
                <c:v>78.849999999999994</c:v>
              </c:pt>
            </c:numLit>
          </c:val>
          <c:extLst>
            <c:ext xmlns:c16="http://schemas.microsoft.com/office/drawing/2014/chart" uri="{C3380CC4-5D6E-409C-BE32-E72D297353CC}">
              <c16:uniqueId val="{00000003-16EA-4FFD-8F6E-E8EF8CA0749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797585912"/>
        <c:axId val="797587224"/>
      </c:barChart>
      <c:catAx>
        <c:axId val="797585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587224"/>
        <c:crosses val="autoZero"/>
        <c:auto val="1"/>
        <c:lblAlgn val="ctr"/>
        <c:lblOffset val="100"/>
        <c:noMultiLvlLbl val="0"/>
      </c:catAx>
      <c:valAx>
        <c:axId val="7975872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797585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160801495331935"/>
          <c:y val="0.13584869387996332"/>
          <c:w val="0.14680497194637099"/>
          <c:h val="0.57895270092543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GB" sz="1100"/>
              <a:t>Average Miles Per Gallon</a:t>
            </a:r>
          </a:p>
        </c:rich>
      </c:tx>
      <c:layout>
        <c:manualLayout>
          <c:xMode val="edge"/>
          <c:yMode val="edge"/>
          <c:x val="0.3561347246641951"/>
          <c:y val="2.80489466037050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199003978481121E-2"/>
          <c:y val="0.20036191046912166"/>
          <c:w val="0.88980053620749966"/>
          <c:h val="0.58274358466577392"/>
        </c:manualLayout>
      </c:layout>
      <c:lineChart>
        <c:grouping val="standard"/>
        <c:varyColors val="0"/>
        <c:ser>
          <c:idx val="0"/>
          <c:order val="0"/>
          <c:tx>
            <c:strRef>
              <c:f>'Year Calculations'!$C$5</c:f>
              <c:strCache>
                <c:ptCount val="1"/>
                <c:pt idx="0">
                  <c:v>Average of Miles Per Gallon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'Year Calculations'!$A$7:$A$18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'Year Calculations'!$C$7:$C$18</c:f>
              <c:numCache>
                <c:formatCode>General</c:formatCode>
                <c:ptCount val="12"/>
                <c:pt idx="0">
                  <c:v>30.696380785820423</c:v>
                </c:pt>
                <c:pt idx="1">
                  <c:v>30.054888764549659</c:v>
                </c:pt>
                <c:pt idx="2">
                  <c:v>32.396786342777418</c:v>
                </c:pt>
                <c:pt idx="3">
                  <c:v>30.635622964072667</c:v>
                </c:pt>
                <c:pt idx="4">
                  <c:v>32.385128385921618</c:v>
                </c:pt>
                <c:pt idx="5">
                  <c:v>32.189426268373637</c:v>
                </c:pt>
                <c:pt idx="6">
                  <c:v>31.908909681656908</c:v>
                </c:pt>
                <c:pt idx="7">
                  <c:v>33.423870963745721</c:v>
                </c:pt>
                <c:pt idx="8">
                  <c:v>32.840617633560335</c:v>
                </c:pt>
                <c:pt idx="9">
                  <c:v>31.94565005965659</c:v>
                </c:pt>
                <c:pt idx="10">
                  <c:v>30.332177556923533</c:v>
                </c:pt>
                <c:pt idx="11">
                  <c:v>30.287711904512825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CF-44C1-B430-45854C68B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1270512"/>
        <c:axId val="861271496"/>
      </c:lineChart>
      <c:catAx>
        <c:axId val="86127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271496"/>
        <c:crosses val="autoZero"/>
        <c:auto val="1"/>
        <c:lblAlgn val="ctr"/>
        <c:lblOffset val="100"/>
        <c:noMultiLvlLbl val="0"/>
      </c:catAx>
      <c:valAx>
        <c:axId val="861271496"/>
        <c:scaling>
          <c:orientation val="minMax"/>
          <c:max val="34"/>
          <c:min val="3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27051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GB" sz="1100"/>
              <a:t>Average Cost Per Gallon</a:t>
            </a:r>
          </a:p>
        </c:rich>
      </c:tx>
      <c:layout>
        <c:manualLayout>
          <c:xMode val="edge"/>
          <c:yMode val="edge"/>
          <c:x val="0.36637394920337307"/>
          <c:y val="2.8048925377674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199003978481121E-2"/>
          <c:y val="0.20036191046912166"/>
          <c:w val="0.88980053620749966"/>
          <c:h val="0.58274358466577392"/>
        </c:manualLayout>
      </c:layout>
      <c:lineChart>
        <c:grouping val="standard"/>
        <c:varyColors val="0"/>
        <c:ser>
          <c:idx val="1"/>
          <c:order val="0"/>
          <c:tx>
            <c:strRef>
              <c:f>'Year Calculations'!$D$5</c:f>
              <c:strCache>
                <c:ptCount val="1"/>
                <c:pt idx="0">
                  <c:v>Average of Price Per Gallon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'Year Calculations'!$A$7:$A$18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'Year Calculations'!$D$7:$D$18</c:f>
              <c:numCache>
                <c:formatCode>General</c:formatCode>
                <c:ptCount val="12"/>
                <c:pt idx="0">
                  <c:v>3.4900638567038396</c:v>
                </c:pt>
                <c:pt idx="1">
                  <c:v>3.5504338300773091</c:v>
                </c:pt>
                <c:pt idx="2">
                  <c:v>3.829560764212026</c:v>
                </c:pt>
                <c:pt idx="3">
                  <c:v>3.9740376007162039</c:v>
                </c:pt>
                <c:pt idx="4">
                  <c:v>3.8305203008402371</c:v>
                </c:pt>
                <c:pt idx="5">
                  <c:v>3.581484115694642</c:v>
                </c:pt>
                <c:pt idx="6">
                  <c:v>3.4724862678313104</c:v>
                </c:pt>
                <c:pt idx="7">
                  <c:v>3.7000473851452216</c:v>
                </c:pt>
                <c:pt idx="8">
                  <c:v>3.8871309326704142</c:v>
                </c:pt>
                <c:pt idx="9">
                  <c:v>3.7729498634621308</c:v>
                </c:pt>
                <c:pt idx="10">
                  <c:v>3.6599328784395166</c:v>
                </c:pt>
                <c:pt idx="11">
                  <c:v>3.4492583238267933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43-4EA0-8C37-B76E1E973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1270512"/>
        <c:axId val="861271496"/>
      </c:lineChart>
      <c:catAx>
        <c:axId val="86127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271496"/>
        <c:crosses val="autoZero"/>
        <c:auto val="1"/>
        <c:lblAlgn val="ctr"/>
        <c:lblOffset val="100"/>
        <c:noMultiLvlLbl val="0"/>
      </c:catAx>
      <c:valAx>
        <c:axId val="861271496"/>
        <c:scaling>
          <c:orientation val="minMax"/>
          <c:max val="4"/>
          <c:min val="3.2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27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[Xander Fuel - Jess 2.xlsm]Dashboard!PivotTable3</c:name>
    <c:fmtId val="0"/>
  </c:pivotSource>
  <c:chart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square"/>
          <c:size val="5"/>
          <c:spPr>
            <a:solidFill>
              <a:schemeClr val="accent3">
                <a:shade val="65000"/>
              </a:schemeClr>
            </a:solidFill>
            <a:ln w="9525">
              <a:solidFill>
                <a:schemeClr val="accent3">
                  <a:shade val="6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533686951821034E-2"/>
          <c:y val="3.8909671351145994E-2"/>
          <c:w val="0.6638684277368555"/>
          <c:h val="0.879032422033736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Dashboard!$B$60</c:f>
              <c:strCache>
                <c:ptCount val="1"/>
                <c:pt idx="0">
                  <c:v>Sum of Gallons</c:v>
                </c:pt>
              </c:strCache>
            </c:strRef>
          </c:tx>
          <c:spPr>
            <a:solidFill>
              <a:schemeClr val="accent3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Dashboard!$A$61:$A$73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Dashboard!$B$61:$B$73</c:f>
              <c:numCache>
                <c:formatCode>General</c:formatCode>
                <c:ptCount val="12"/>
                <c:pt idx="0">
                  <c:v>44.06</c:v>
                </c:pt>
                <c:pt idx="1">
                  <c:v>22.53</c:v>
                </c:pt>
                <c:pt idx="2">
                  <c:v>42.539999999999992</c:v>
                </c:pt>
                <c:pt idx="3">
                  <c:v>22.1</c:v>
                </c:pt>
                <c:pt idx="4">
                  <c:v>22.14</c:v>
                </c:pt>
                <c:pt idx="5">
                  <c:v>22.5</c:v>
                </c:pt>
                <c:pt idx="6">
                  <c:v>34.29</c:v>
                </c:pt>
                <c:pt idx="7">
                  <c:v>22.740000000000002</c:v>
                </c:pt>
                <c:pt idx="8">
                  <c:v>33.44</c:v>
                </c:pt>
                <c:pt idx="9">
                  <c:v>34.14</c:v>
                </c:pt>
                <c:pt idx="10">
                  <c:v>22.759999999999998</c:v>
                </c:pt>
                <c:pt idx="11">
                  <c:v>21.950000000000003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B-4E7F-BB93-3EAA6DEFEFF2}"/>
            </c:ext>
          </c:extLst>
        </c:ser>
        <c:ser>
          <c:idx val="1"/>
          <c:order val="1"/>
          <c:tx>
            <c:strRef>
              <c:f>Dashboard!$C$60</c:f>
              <c:strCache>
                <c:ptCount val="1"/>
                <c:pt idx="0">
                  <c:v>Average Miles Per Gallon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Dashboard!$A$61:$A$73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Dashboard!$C$61:$C$73</c:f>
              <c:numCache>
                <c:formatCode>General</c:formatCode>
                <c:ptCount val="12"/>
                <c:pt idx="0">
                  <c:v>30.696380785820423</c:v>
                </c:pt>
                <c:pt idx="1">
                  <c:v>30.054888764549659</c:v>
                </c:pt>
                <c:pt idx="2">
                  <c:v>32.396786342777418</c:v>
                </c:pt>
                <c:pt idx="3">
                  <c:v>30.635622964072667</c:v>
                </c:pt>
                <c:pt idx="4">
                  <c:v>32.385128385921618</c:v>
                </c:pt>
                <c:pt idx="5">
                  <c:v>32.189426268373637</c:v>
                </c:pt>
                <c:pt idx="6">
                  <c:v>31.908909681656908</c:v>
                </c:pt>
                <c:pt idx="7">
                  <c:v>33.423870963745721</c:v>
                </c:pt>
                <c:pt idx="8">
                  <c:v>32.840617633560335</c:v>
                </c:pt>
                <c:pt idx="9">
                  <c:v>31.94565005965659</c:v>
                </c:pt>
                <c:pt idx="10">
                  <c:v>30.332177556923533</c:v>
                </c:pt>
                <c:pt idx="11">
                  <c:v>30.287711904512825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B-4E7F-BB93-3EAA6DEFE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8753520"/>
        <c:axId val="758753848"/>
      </c:barChart>
      <c:lineChart>
        <c:grouping val="standard"/>
        <c:varyColors val="0"/>
        <c:ser>
          <c:idx val="2"/>
          <c:order val="2"/>
          <c:tx>
            <c:strRef>
              <c:f>Dashboard!$D$60</c:f>
              <c:strCache>
                <c:ptCount val="1"/>
                <c:pt idx="0">
                  <c:v>Average Price Per Gallon</c:v>
                </c:pt>
              </c:strCache>
            </c:strRef>
          </c:tx>
          <c:spPr>
            <a:ln w="28575" cap="rnd">
              <a:solidFill>
                <a:schemeClr val="accent3">
                  <a:shade val="65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>
                  <a:shade val="65000"/>
                </a:schemeClr>
              </a:solidFill>
              <a:ln w="9525">
                <a:solidFill>
                  <a:schemeClr val="accent3">
                    <a:shade val="65000"/>
                  </a:schemeClr>
                </a:solidFill>
              </a:ln>
              <a:effectLst/>
            </c:spPr>
          </c:marker>
          <c:cat>
            <c:strRef>
              <c:f>Dashboard!$A$61:$A$73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Dashboard!$D$61:$D$73</c:f>
              <c:numCache>
                <c:formatCode>General</c:formatCode>
                <c:ptCount val="12"/>
                <c:pt idx="0">
                  <c:v>3.4900638567038396</c:v>
                </c:pt>
                <c:pt idx="1">
                  <c:v>3.5504338300773091</c:v>
                </c:pt>
                <c:pt idx="2">
                  <c:v>3.829560764212026</c:v>
                </c:pt>
                <c:pt idx="3">
                  <c:v>3.9740376007162039</c:v>
                </c:pt>
                <c:pt idx="4">
                  <c:v>3.8305203008402371</c:v>
                </c:pt>
                <c:pt idx="5">
                  <c:v>3.581484115694642</c:v>
                </c:pt>
                <c:pt idx="6">
                  <c:v>3.4724862678313104</c:v>
                </c:pt>
                <c:pt idx="7">
                  <c:v>3.7000473851452216</c:v>
                </c:pt>
                <c:pt idx="8">
                  <c:v>3.8871309326704142</c:v>
                </c:pt>
                <c:pt idx="9">
                  <c:v>3.7729498634621308</c:v>
                </c:pt>
                <c:pt idx="10">
                  <c:v>3.6599328784395166</c:v>
                </c:pt>
                <c:pt idx="11">
                  <c:v>3.4492583238267933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8B-4E7F-BB93-3EAA6DEFE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5579672"/>
        <c:axId val="1295579344"/>
      </c:lineChart>
      <c:catAx>
        <c:axId val="75875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753848"/>
        <c:crosses val="autoZero"/>
        <c:auto val="1"/>
        <c:lblAlgn val="ctr"/>
        <c:lblOffset val="100"/>
        <c:noMultiLvlLbl val="0"/>
      </c:catAx>
      <c:valAx>
        <c:axId val="75875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753520"/>
        <c:crosses val="autoZero"/>
        <c:crossBetween val="between"/>
      </c:valAx>
      <c:valAx>
        <c:axId val="1295579344"/>
        <c:scaling>
          <c:orientation val="minMax"/>
        </c:scaling>
        <c:delete val="0"/>
        <c:axPos val="r"/>
        <c:numFmt formatCode="&quot;£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579672"/>
        <c:crosses val="max"/>
        <c:crossBetween val="between"/>
      </c:valAx>
      <c:catAx>
        <c:axId val="1295579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5579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250190500381002"/>
          <c:y val="0.28769840132055918"/>
          <c:w val="0.19023317246634494"/>
          <c:h val="0.454979114948416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[Xander Fuel - Jess 2.xlsm]Dashboard!PivotTable4</c:name>
    <c:fmtId val="0"/>
  </c:pivotSource>
  <c:chart>
    <c:autoTitleDeleted val="0"/>
    <c:pivotFmts>
      <c:pivotFmt>
        <c:idx val="0"/>
        <c:spPr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diamond"/>
          <c:size val="8"/>
          <c:spPr>
            <a:solidFill>
              <a:schemeClr val="accent3"/>
            </a:solidFill>
            <a:ln w="9525">
              <a:solidFill>
                <a:schemeClr val="accent3">
                  <a:alpha val="96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974663221026495E-2"/>
          <c:y val="2.7465667915106119E-2"/>
          <c:w val="0.59639501918962745"/>
          <c:h val="0.914611066875067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Dashboard!$B$76</c:f>
              <c:strCache>
                <c:ptCount val="1"/>
                <c:pt idx="0">
                  <c:v>Sum of Miles Accumulated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solidFill>
                <a:schemeClr val="accent3">
                  <a:lumMod val="75000"/>
                </a:schemeClr>
              </a:solidFill>
            </a:ln>
            <a:effectLst/>
          </c:spPr>
          <c:invertIfNegative val="0"/>
          <c:cat>
            <c:strRef>
              <c:f>Dashboard!$A$77:$A$89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Dashboard!$B$77:$B$89</c:f>
              <c:numCache>
                <c:formatCode>General</c:formatCode>
                <c:ptCount val="12"/>
                <c:pt idx="0">
                  <c:v>1353</c:v>
                </c:pt>
                <c:pt idx="1">
                  <c:v>677</c:v>
                </c:pt>
                <c:pt idx="2">
                  <c:v>1378</c:v>
                </c:pt>
                <c:pt idx="3">
                  <c:v>677</c:v>
                </c:pt>
                <c:pt idx="4">
                  <c:v>717</c:v>
                </c:pt>
                <c:pt idx="5">
                  <c:v>724</c:v>
                </c:pt>
                <c:pt idx="6">
                  <c:v>1094</c:v>
                </c:pt>
                <c:pt idx="7">
                  <c:v>759</c:v>
                </c:pt>
                <c:pt idx="8">
                  <c:v>1098</c:v>
                </c:pt>
                <c:pt idx="9">
                  <c:v>1091</c:v>
                </c:pt>
                <c:pt idx="10">
                  <c:v>690</c:v>
                </c:pt>
                <c:pt idx="11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4D-4DF3-8EF7-35629726E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295551464"/>
        <c:axId val="1295548840"/>
      </c:barChart>
      <c:lineChart>
        <c:grouping val="standard"/>
        <c:varyColors val="0"/>
        <c:ser>
          <c:idx val="1"/>
          <c:order val="1"/>
          <c:tx>
            <c:strRef>
              <c:f>Dashboard!$C$76</c:f>
              <c:strCache>
                <c:ptCount val="1"/>
                <c:pt idx="0">
                  <c:v>Sum of Cost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chemeClr val="accent3"/>
              </a:solidFill>
              <a:ln w="9525">
                <a:solidFill>
                  <a:schemeClr val="accent3">
                    <a:alpha val="96000"/>
                  </a:schemeClr>
                </a:solidFill>
              </a:ln>
              <a:effectLst/>
            </c:spPr>
          </c:marker>
          <c:cat>
            <c:strRef>
              <c:f>Dashboard!$A$77:$A$89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Dashboard!$C$77:$C$89</c:f>
              <c:numCache>
                <c:formatCode>General</c:formatCode>
                <c:ptCount val="12"/>
                <c:pt idx="0">
                  <c:v>153.72999999999999</c:v>
                </c:pt>
                <c:pt idx="1">
                  <c:v>80</c:v>
                </c:pt>
                <c:pt idx="2">
                  <c:v>162.97000000000003</c:v>
                </c:pt>
                <c:pt idx="3">
                  <c:v>87.82</c:v>
                </c:pt>
                <c:pt idx="4">
                  <c:v>84.82</c:v>
                </c:pt>
                <c:pt idx="5">
                  <c:v>80.59</c:v>
                </c:pt>
                <c:pt idx="6">
                  <c:v>119.03</c:v>
                </c:pt>
                <c:pt idx="7">
                  <c:v>84.14</c:v>
                </c:pt>
                <c:pt idx="8">
                  <c:v>130</c:v>
                </c:pt>
                <c:pt idx="9">
                  <c:v>128.80000000000001</c:v>
                </c:pt>
                <c:pt idx="10">
                  <c:v>83.300000000000011</c:v>
                </c:pt>
                <c:pt idx="11">
                  <c:v>75.72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4D-4DF3-8EF7-35629726E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5544576"/>
        <c:axId val="1295544248"/>
      </c:lineChart>
      <c:catAx>
        <c:axId val="1295551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548840"/>
        <c:crosses val="autoZero"/>
        <c:auto val="1"/>
        <c:lblAlgn val="ctr"/>
        <c:lblOffset val="100"/>
        <c:noMultiLvlLbl val="0"/>
      </c:catAx>
      <c:valAx>
        <c:axId val="129554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551464"/>
        <c:crosses val="autoZero"/>
        <c:crossBetween val="between"/>
      </c:valAx>
      <c:valAx>
        <c:axId val="1295544248"/>
        <c:scaling>
          <c:orientation val="minMax"/>
        </c:scaling>
        <c:delete val="0"/>
        <c:axPos val="r"/>
        <c:numFmt formatCode="&quot;£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544576"/>
        <c:crosses val="max"/>
        <c:crossBetween val="between"/>
      </c:valAx>
      <c:catAx>
        <c:axId val="1295544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5544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70746663275016"/>
          <c:y val="0.422908569013143"/>
          <c:w val="0.20612115115566501"/>
          <c:h val="0.32397062726709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4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5091</xdr:colOff>
      <xdr:row>10</xdr:row>
      <xdr:rowOff>55848</xdr:rowOff>
    </xdr:from>
    <xdr:to>
      <xdr:col>4</xdr:col>
      <xdr:colOff>72615</xdr:colOff>
      <xdr:row>18</xdr:row>
      <xdr:rowOff>132521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8A4AEF2-858F-43AC-BCDF-A5DA56AD4C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61142</xdr:colOff>
      <xdr:row>3</xdr:row>
      <xdr:rowOff>31423</xdr:rowOff>
    </xdr:from>
    <xdr:to>
      <xdr:col>9</xdr:col>
      <xdr:colOff>25400</xdr:colOff>
      <xdr:row>9</xdr:row>
      <xdr:rowOff>18448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BA8FBC6-8C18-4073-971B-2AA36C0C6E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29005</xdr:colOff>
      <xdr:row>9</xdr:row>
      <xdr:rowOff>152401</xdr:rowOff>
    </xdr:from>
    <xdr:to>
      <xdr:col>9</xdr:col>
      <xdr:colOff>65348</xdr:colOff>
      <xdr:row>18</xdr:row>
      <xdr:rowOff>72751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E2E4820-D8B8-4E52-BB15-D862AA45B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60960</xdr:colOff>
      <xdr:row>20</xdr:row>
      <xdr:rowOff>42582</xdr:rowOff>
    </xdr:from>
    <xdr:to>
      <xdr:col>5</xdr:col>
      <xdr:colOff>198069</xdr:colOff>
      <xdr:row>27</xdr:row>
      <xdr:rowOff>159123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CD6F3335-2700-4B4A-816C-16D4EF535C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960" y="4987962"/>
              <a:ext cx="5768289" cy="1396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Timeline: Works in Excel 2013 or higher. Do not move or resize.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83820</xdr:colOff>
      <xdr:row>28</xdr:row>
      <xdr:rowOff>67232</xdr:rowOff>
    </xdr:from>
    <xdr:to>
      <xdr:col>5</xdr:col>
      <xdr:colOff>297180</xdr:colOff>
      <xdr:row>48</xdr:row>
      <xdr:rowOff>71717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64310FF-FE54-4B5A-B3BB-427740F73C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396240</xdr:colOff>
      <xdr:row>20</xdr:row>
      <xdr:rowOff>34290</xdr:rowOff>
    </xdr:from>
    <xdr:to>
      <xdr:col>8</xdr:col>
      <xdr:colOff>1790700</xdr:colOff>
      <xdr:row>48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1311434-E009-4206-BA47-A84446ACA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283029</xdr:colOff>
      <xdr:row>1</xdr:row>
      <xdr:rowOff>32658</xdr:rowOff>
    </xdr:from>
    <xdr:to>
      <xdr:col>10</xdr:col>
      <xdr:colOff>620487</xdr:colOff>
      <xdr:row>3</xdr:row>
      <xdr:rowOff>97972</xdr:rowOff>
    </xdr:to>
    <xdr:sp macro="[0]!Yr_av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DA08FA-0076-4397-9CE5-DBF2DAAB171D}"/>
            </a:ext>
          </a:extLst>
        </xdr:cNvPr>
        <xdr:cNvSpPr/>
      </xdr:nvSpPr>
      <xdr:spPr>
        <a:xfrm>
          <a:off x="11527972" y="217715"/>
          <a:ext cx="1153886" cy="7728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/>
            <a:t>Calculate Yearly Averages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21590</xdr:colOff>
      <xdr:row>4</xdr:row>
      <xdr:rowOff>41275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B57801A8-AF8D-4343-AA24-47F502129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232751" cy="77606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ssica Musset" refreshedDate="44529.494558680555" createdVersion="7" refreshedVersion="7" minRefreshableVersion="3" recordCount="32" xr:uid="{23C81F17-F8A4-48BD-BF84-F089061DFEAE}">
  <cacheSource type="worksheet">
    <worksheetSource name="Data_Table"/>
  </cacheSource>
  <cacheFields count="11">
    <cacheField name="Date" numFmtId="14">
      <sharedItems containsNonDate="0" containsDate="1" containsString="0" containsBlank="1" minDate="2020-01-01T00:00:00" maxDate="2020-12-17T00:00:00" count="32">
        <m/>
        <d v="2020-01-01T00:00:00"/>
        <d v="2020-01-05T00:00:00"/>
        <d v="2020-01-19T00:00:00"/>
        <d v="2020-01-28T00:00:00"/>
        <d v="2020-02-08T00:00:00"/>
        <d v="2020-02-20T00:00:00"/>
        <d v="2020-03-05T00:00:00"/>
        <d v="2020-03-08T00:00:00"/>
        <d v="2020-03-13T00:00:00"/>
        <d v="2020-03-21T00:00:00"/>
        <d v="2020-04-03T00:00:00"/>
        <d v="2020-04-17T00:00:00"/>
        <d v="2020-05-01T00:00:00"/>
        <d v="2020-05-18T00:00:00"/>
        <d v="2020-06-04T00:00:00"/>
        <d v="2020-06-19T00:00:00"/>
        <d v="2020-07-02T00:00:00"/>
        <d v="2020-07-12T00:00:00"/>
        <d v="2020-07-25T00:00:00"/>
        <d v="2020-08-13T00:00:00"/>
        <d v="2020-08-22T00:00:00"/>
        <d v="2020-09-01T00:00:00"/>
        <d v="2020-09-13T00:00:00"/>
        <d v="2020-09-23T00:00:00"/>
        <d v="2020-10-05T00:00:00"/>
        <d v="2020-10-17T00:00:00"/>
        <d v="2020-10-28T00:00:00"/>
        <d v="2020-11-09T00:00:00"/>
        <d v="2020-11-28T00:00:00"/>
        <d v="2020-12-08T00:00:00"/>
        <d v="2020-12-16T00:00:00"/>
      </sharedItems>
      <fieldGroup par="10" base="0">
        <rangePr groupBy="days" startDate="2020-01-01T00:00:00" endDate="2020-12-17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7/12/2020"/>
        </groupItems>
      </fieldGroup>
    </cacheField>
    <cacheField name="Miles" numFmtId="166">
      <sharedItems containsSemiMixedTypes="0" containsString="0" containsNumber="1" containsInteger="1" minValue="34116" maxValue="45039"/>
    </cacheField>
    <cacheField name="Gallons" numFmtId="2">
      <sharedItems containsString="0" containsBlank="1" containsNumber="1" minValue="9.15" maxValue="11.72"/>
    </cacheField>
    <cacheField name="Cost" numFmtId="0">
      <sharedItems containsString="0" containsBlank="1" containsNumber="1" minValue="34.75" maxValue="44.73"/>
    </cacheField>
    <cacheField name="Miles Accumulated" numFmtId="2">
      <sharedItems containsString="0" containsBlank="1" containsNumber="1" containsInteger="1" minValue="296" maxValue="385"/>
    </cacheField>
    <cacheField name="Kilometres Accumulated" numFmtId="2">
      <sharedItems containsString="0" containsBlank="1" containsNumber="1" minValue="476.36582400000003" maxValue="619.59743999999989"/>
    </cacheField>
    <cacheField name="Price Per Gallon" numFmtId="0">
      <sharedItems containsString="0" containsBlank="1" containsNumber="1" minValue="3.3598553345388784" maxValue="4"/>
    </cacheField>
    <cacheField name="Miles Per Gallon" numFmtId="0">
      <sharedItems containsString="0" containsBlank="1" containsNumber="1" minValue="29.201101928374655" maxValue="34.936479128856625"/>
    </cacheField>
    <cacheField name="Miles since purchase" numFmtId="0">
      <sharedItems containsString="0" containsBlank="1" containsNumber="1" containsInteger="1" minValue="325" maxValue="10923"/>
    </cacheField>
    <cacheField name="Kilometres since purchase" numFmtId="0">
      <sharedItems containsString="0" containsBlank="1" containsNumber="1" minValue="523.03679999999997" maxValue="17578.864512"/>
    </cacheField>
    <cacheField name="Months" numFmtId="0" databaseField="0">
      <fieldGroup base="0">
        <rangePr groupBy="months" startDate="2020-01-01T00:00:00" endDate="2020-12-17T00:00:00"/>
        <groupItems count="14">
          <s v="&lt;01/01/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7/12/2020"/>
        </groupItems>
      </fieldGroup>
    </cacheField>
  </cacheFields>
  <extLst>
    <ext xmlns:x14="http://schemas.microsoft.com/office/spreadsheetml/2009/9/main" uri="{725AE2AE-9491-48be-B2B4-4EB974FC3084}">
      <x14:pivotCacheDefinition pivotCacheId="89668792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ssica Musset" refreshedDate="44529.654614699073" createdVersion="7" refreshedVersion="7" minRefreshableVersion="3" recordCount="32" xr:uid="{B5A25E43-D639-4762-9BD7-017CB5B3BBAE}">
  <cacheSource type="worksheet">
    <worksheetSource name="=Data_Table"/>
  </cacheSource>
  <cacheFields count="11">
    <cacheField name="Date" numFmtId="14">
      <sharedItems containsNonDate="0" containsDate="1" containsString="0" containsBlank="1" minDate="2020-01-01T00:00:00" maxDate="2020-12-17T00:00:00" count="32">
        <m/>
        <d v="2020-01-01T00:00:00"/>
        <d v="2020-01-05T00:00:00"/>
        <d v="2020-01-19T00:00:00"/>
        <d v="2020-01-28T00:00:00"/>
        <d v="2020-02-08T00:00:00"/>
        <d v="2020-02-20T00:00:00"/>
        <d v="2020-03-05T00:00:00"/>
        <d v="2020-03-08T00:00:00"/>
        <d v="2020-03-13T00:00:00"/>
        <d v="2020-03-21T00:00:00"/>
        <d v="2020-04-03T00:00:00"/>
        <d v="2020-04-17T00:00:00"/>
        <d v="2020-05-01T00:00:00"/>
        <d v="2020-05-18T00:00:00"/>
        <d v="2020-06-04T00:00:00"/>
        <d v="2020-06-19T00:00:00"/>
        <d v="2020-07-02T00:00:00"/>
        <d v="2020-07-12T00:00:00"/>
        <d v="2020-07-25T00:00:00"/>
        <d v="2020-08-13T00:00:00"/>
        <d v="2020-08-22T00:00:00"/>
        <d v="2020-09-01T00:00:00"/>
        <d v="2020-09-13T00:00:00"/>
        <d v="2020-09-23T00:00:00"/>
        <d v="2020-10-05T00:00:00"/>
        <d v="2020-10-17T00:00:00"/>
        <d v="2020-10-28T00:00:00"/>
        <d v="2020-11-09T00:00:00"/>
        <d v="2020-11-28T00:00:00"/>
        <d v="2020-12-08T00:00:00"/>
        <d v="2020-12-16T00:00:00"/>
      </sharedItems>
      <fieldGroup par="10" base="0">
        <rangePr groupBy="days" startDate="2020-01-01T00:00:00" endDate="2020-12-17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7/12/2020"/>
        </groupItems>
      </fieldGroup>
    </cacheField>
    <cacheField name="Miles" numFmtId="166">
      <sharedItems containsSemiMixedTypes="0" containsString="0" containsNumber="1" containsInteger="1" minValue="34116" maxValue="45039"/>
    </cacheField>
    <cacheField name="Gallons" numFmtId="2">
      <sharedItems containsString="0" containsBlank="1" containsNumber="1" minValue="9.15" maxValue="11.72"/>
    </cacheField>
    <cacheField name="Cost" numFmtId="0">
      <sharedItems containsString="0" containsBlank="1" containsNumber="1" minValue="34.75" maxValue="44.73"/>
    </cacheField>
    <cacheField name="Miles Accumulated" numFmtId="2">
      <sharedItems containsString="0" containsBlank="1" containsNumber="1" containsInteger="1" minValue="296" maxValue="385"/>
    </cacheField>
    <cacheField name="Kilometres Accumulated" numFmtId="2">
      <sharedItems containsString="0" containsBlank="1" containsNumber="1" minValue="476.36582400000003" maxValue="619.59743999999989"/>
    </cacheField>
    <cacheField name="Price Per Gallon" numFmtId="0">
      <sharedItems containsString="0" containsBlank="1" containsNumber="1" minValue="3.3598553345388784" maxValue="4"/>
    </cacheField>
    <cacheField name="Miles Per Gallon" numFmtId="0">
      <sharedItems containsString="0" containsBlank="1" containsNumber="1" minValue="29.201101928374655" maxValue="34.936479128856625"/>
    </cacheField>
    <cacheField name="Miles since purchase" numFmtId="0">
      <sharedItems containsString="0" containsBlank="1" containsNumber="1" containsInteger="1" minValue="325" maxValue="10923"/>
    </cacheField>
    <cacheField name="Kilometres since purchase" numFmtId="0">
      <sharedItems containsString="0" containsBlank="1" containsNumber="1" minValue="523.03679999999997" maxValue="17578.864512"/>
    </cacheField>
    <cacheField name="Months" numFmtId="0" databaseField="0">
      <fieldGroup base="0">
        <rangePr groupBy="months" startDate="2020-01-01T00:00:00" endDate="2020-12-17T00:00:00"/>
        <groupItems count="14">
          <s v="&lt;01/01/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7/12/2020"/>
        </groupItems>
      </fieldGroup>
    </cacheField>
  </cacheFields>
  <extLst>
    <ext xmlns:x14="http://schemas.microsoft.com/office/spreadsheetml/2009/9/main" uri="{725AE2AE-9491-48be-B2B4-4EB974FC3084}">
      <x14:pivotCacheDefinition pivotCacheId="1172313725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ssica Musset" refreshedDate="44530.467056481481" backgroundQuery="1" createdVersion="7" refreshedVersion="7" minRefreshableVersion="3" recordCount="0" supportSubquery="1" supportAdvancedDrill="1" xr:uid="{8101C840-F7D1-41AB-B10A-D015CEC9D552}">
  <cacheSource type="external" connectionId="1"/>
  <cacheFields count="5">
    <cacheField name="[Measures].[Sum of Miles Accumulated]" caption="Sum of Miles Accumulated" numFmtId="0" hierarchy="15" level="32767"/>
    <cacheField name="[Data_Table].[Date].[Date]" caption="Date" numFmtId="0" level="1">
      <sharedItems containsSemiMixedTypes="0" containsNonDate="0" containsDate="1" containsString="0" minDate="2020-01-01T00:00:00" maxDate="2020-12-17T00:00:00" count="31">
        <d v="2020-01-01T00:00:00"/>
        <d v="2020-01-05T00:00:00"/>
        <d v="2020-01-19T00:00:00"/>
        <d v="2020-01-28T00:00:00"/>
        <d v="2020-02-08T00:00:00"/>
        <d v="2020-02-20T00:00:00"/>
        <d v="2020-03-05T00:00:00"/>
        <d v="2020-03-08T00:00:00"/>
        <d v="2020-03-13T00:00:00"/>
        <d v="2020-03-21T00:00:00"/>
        <d v="2020-04-03T00:00:00"/>
        <d v="2020-04-17T00:00:00"/>
        <d v="2020-05-01T00:00:00"/>
        <d v="2020-05-18T00:00:00"/>
        <d v="2020-06-04T00:00:00"/>
        <d v="2020-06-19T00:00:00"/>
        <d v="2020-07-02T00:00:00"/>
        <d v="2020-07-12T00:00:00"/>
        <d v="2020-07-25T00:00:00"/>
        <d v="2020-08-13T00:00:00"/>
        <d v="2020-08-22T00:00:00"/>
        <d v="2020-09-01T00:00:00"/>
        <d v="2020-09-13T00:00:00"/>
        <d v="2020-09-23T00:00:00"/>
        <d v="2020-10-05T00:00:00"/>
        <d v="2020-10-17T00:00:00"/>
        <d v="2020-10-28T00:00:00"/>
        <d v="2020-11-09T00:00:00"/>
        <d v="2020-11-28T00:00:00"/>
        <d v="2020-12-08T00:00:00"/>
        <d v="2020-12-16T00:00:00"/>
      </sharedItems>
    </cacheField>
    <cacheField name="[Data_Table].[Date (Quarter)].[Date (Quarter)]" caption="Date (Quarter)" numFmtId="0" hierarchy="10" level="1">
      <sharedItems count="4">
        <s v="Qtr1"/>
        <s v="Qtr2"/>
        <s v="Qtr3"/>
        <s v="Qtr4"/>
      </sharedItems>
    </cacheField>
    <cacheField name="[Measures].[Sum of Cost]" caption="Sum of Cost" numFmtId="0" hierarchy="17" level="32767"/>
    <cacheField name="[Measures].[Sum of Gallons]" caption="Sum of Gallons" numFmtId="0" hierarchy="18" level="32767"/>
  </cacheFields>
  <cacheHierarchies count="24">
    <cacheHierarchy uniqueName="[Data_Table].[Date]" caption="Date" attribute="1" time="1" defaultMemberUniqueName="[Data_Table].[Date].[All]" allUniqueName="[Data_Table].[Date].[All]" dimensionUniqueName="[Data_Table]" displayFolder="" count="2" memberValueDatatype="7" unbalanced="0">
      <fieldsUsage count="2">
        <fieldUsage x="-1"/>
        <fieldUsage x="1"/>
      </fieldsUsage>
    </cacheHierarchy>
    <cacheHierarchy uniqueName="[Data_Table].[Miles]" caption="Miles" attribute="1" defaultMemberUniqueName="[Data_Table].[Miles].[All]" allUniqueName="[Data_Table].[Miles].[All]" dimensionUniqueName="[Data_Table]" displayFolder="" count="0" memberValueDatatype="20" unbalanced="0"/>
    <cacheHierarchy uniqueName="[Data_Table].[Gallons]" caption="Gallons" attribute="1" defaultMemberUniqueName="[Data_Table].[Gallons].[All]" allUniqueName="[Data_Table].[Gallons].[All]" dimensionUniqueName="[Data_Table]" displayFolder="" count="0" memberValueDatatype="5" unbalanced="0"/>
    <cacheHierarchy uniqueName="[Data_Table].[Cost]" caption="Cost" attribute="1" defaultMemberUniqueName="[Data_Table].[Cost].[All]" allUniqueName="[Data_Table].[Cost].[All]" dimensionUniqueName="[Data_Table]" displayFolder="" count="0" memberValueDatatype="5" unbalanced="0"/>
    <cacheHierarchy uniqueName="[Data_Table].[Miles Accumulated]" caption="Miles Accumulated" attribute="1" defaultMemberUniqueName="[Data_Table].[Miles Accumulated].[All]" allUniqueName="[Data_Table].[Miles Accumulated].[All]" dimensionUniqueName="[Data_Table]" displayFolder="" count="0" memberValueDatatype="20" unbalanced="0"/>
    <cacheHierarchy uniqueName="[Data_Table].[Kilometres Accumulated]" caption="Kilometres Accumulated" attribute="1" defaultMemberUniqueName="[Data_Table].[Kilometres Accumulated].[All]" allUniqueName="[Data_Table].[Kilometres Accumulated].[All]" dimensionUniqueName="[Data_Table]" displayFolder="" count="0" memberValueDatatype="5" unbalanced="0"/>
    <cacheHierarchy uniqueName="[Data_Table].[Price Per Gallon]" caption="Price Per Gallon" attribute="1" defaultMemberUniqueName="[Data_Table].[Price Per Gallon].[All]" allUniqueName="[Data_Table].[Price Per Gallon].[All]" dimensionUniqueName="[Data_Table]" displayFolder="" count="0" memberValueDatatype="5" unbalanced="0"/>
    <cacheHierarchy uniqueName="[Data_Table].[Miles Per Gallon]" caption="Miles Per Gallon" attribute="1" defaultMemberUniqueName="[Data_Table].[Miles Per Gallon].[All]" allUniqueName="[Data_Table].[Miles Per Gallon].[All]" dimensionUniqueName="[Data_Table]" displayFolder="" count="0" memberValueDatatype="5" unbalanced="0"/>
    <cacheHierarchy uniqueName="[Data_Table].[Miles since purchase]" caption="Miles since purchase" attribute="1" defaultMemberUniqueName="[Data_Table].[Miles since purchase].[All]" allUniqueName="[Data_Table].[Miles since purchase].[All]" dimensionUniqueName="[Data_Table]" displayFolder="" count="0" memberValueDatatype="20" unbalanced="0"/>
    <cacheHierarchy uniqueName="[Data_Table].[Kilometres since purchase]" caption="Kilometres since purchase" attribute="1" defaultMemberUniqueName="[Data_Table].[Kilometres since purchase].[All]" allUniqueName="[Data_Table].[Kilometres since purchase].[All]" dimensionUniqueName="[Data_Table]" displayFolder="" count="0" memberValueDatatype="5" unbalanced="0"/>
    <cacheHierarchy uniqueName="[Data_Table].[Date (Quarter)]" caption="Date (Quarter)" attribute="1" defaultMemberUniqueName="[Data_Table].[Date (Quarter)].[All]" allUniqueName="[Data_Table].[Date (Quarter)].[All]" dimensionUniqueName="[Data_Table]" displayFolder="" count="2" memberValueDatatype="130" unbalanced="0">
      <fieldsUsage count="2">
        <fieldUsage x="-1"/>
        <fieldUsage x="2"/>
      </fieldsUsage>
    </cacheHierarchy>
    <cacheHierarchy uniqueName="[Data_Table].[Date (Month)]" caption="Date (Month)" attribute="1" defaultMemberUniqueName="[Data_Table].[Date (Month)].[All]" allUniqueName="[Data_Table].[Date (Month)].[All]" dimensionUniqueName="[Data_Table]" displayFolder="" count="0" memberValueDatatype="130" unbalanced="0"/>
    <cacheHierarchy uniqueName="[Data_Table].[Date (Month Index)]" caption="Date (Month Index)" attribute="1" defaultMemberUniqueName="[Data_Table].[Date (Month Index)].[All]" allUniqueName="[Data_Table].[Date (Month Index)].[All]" dimensionUniqueName="[Data_Table]" displayFolder="" count="0" memberValueDatatype="20" unbalanced="0" hidden="1"/>
    <cacheHierarchy uniqueName="[Measures].[__XL_Count Data_Table]" caption="__XL_Count Data_Table" measure="1" displayFolder="" measureGroup="Data_Table" count="0" hidden="1"/>
    <cacheHierarchy uniqueName="[Measures].[__No measures defined]" caption="__No measures defined" measure="1" displayFolder="" count="0" hidden="1"/>
    <cacheHierarchy uniqueName="[Measures].[Sum of Miles Accumulated]" caption="Sum of Miles Accumulated" measure="1" displayFolder="" measureGroup="Data_Tabl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Miles]" caption="Sum of Miles" measure="1" displayFolder="" measureGroup="Data_Tabl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ost]" caption="Sum of Cost" measure="1" displayFolder="" measureGroup="Data_Table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Gallons]" caption="Sum of Gallons" measure="1" displayFolder="" measureGroup="Data_Table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ice Per Gallon]" caption="Sum of Price Per Gallon" measure="1" displayFolder="" measureGroup="Data_Tabl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Miles Per Gallon]" caption="Sum of Miles Per Gallon" measure="1" displayFolder="" measureGroup="Data_Tabl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Miles since purchase]" caption="Sum of Miles since purchase" measure="1" displayFolder="" measureGroup="Data_Tabl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Average of Miles Per Gallon]" caption="Average of Miles Per Gallon" measure="1" displayFolder="" measureGroup="Data_Tabl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Price Per Gallon]" caption="Average of Price Per Gallon" measure="1" displayFolder="" measureGroup="Data_Tabl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Data_Table" uniqueName="[Data_Table]" caption="Data_Table"/>
    <dimension measure="1" name="Measures" uniqueName="[Measures]" caption="Measures"/>
  </dimensions>
  <measureGroups count="1">
    <measureGroup name="Data_Table" caption="Data_Tabl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ssica Musset" refreshedDate="44530.511762152775" backgroundQuery="1" createdVersion="7" refreshedVersion="7" minRefreshableVersion="3" recordCount="0" supportSubquery="1" supportAdvancedDrill="1" xr:uid="{4BAB4711-A367-4435-855E-71505F68D378}">
  <cacheSource type="external" connectionId="1"/>
  <cacheFields count="5">
    <cacheField name="[Data_Table].[Date (Month)].[Date (Month)]" caption="Date (Month)" numFmtId="0" hierarchy="11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Measures].[Sum of Gallons]" caption="Sum of Gallons" numFmtId="0" hierarchy="18" level="32767"/>
    <cacheField name="[Data_Table].[Date].[Date]" caption="Date" numFmtId="0" level="1">
      <sharedItems containsSemiMixedTypes="0" containsNonDate="0" containsString="0"/>
    </cacheField>
    <cacheField name="[Measures].[Average of Miles Per Gallon]" caption="Average of Miles Per Gallon" numFmtId="0" hierarchy="22" level="32767"/>
    <cacheField name="[Measures].[Average of Price Per Gallon]" caption="Average of Price Per Gallon" numFmtId="0" hierarchy="23" level="32767"/>
  </cacheFields>
  <cacheHierarchies count="24">
    <cacheHierarchy uniqueName="[Data_Table].[Date]" caption="Date" attribute="1" time="1" defaultMemberUniqueName="[Data_Table].[Date].[All]" allUniqueName="[Data_Table].[Date].[All]" dimensionUniqueName="[Data_Table]" displayFolder="" count="2" memberValueDatatype="7" unbalanced="0">
      <fieldsUsage count="2">
        <fieldUsage x="-1"/>
        <fieldUsage x="2"/>
      </fieldsUsage>
    </cacheHierarchy>
    <cacheHierarchy uniqueName="[Data_Table].[Miles]" caption="Miles" attribute="1" defaultMemberUniqueName="[Data_Table].[Miles].[All]" allUniqueName="[Data_Table].[Miles].[All]" dimensionUniqueName="[Data_Table]" displayFolder="" count="0" memberValueDatatype="20" unbalanced="0"/>
    <cacheHierarchy uniqueName="[Data_Table].[Gallons]" caption="Gallons" attribute="1" defaultMemberUniqueName="[Data_Table].[Gallons].[All]" allUniqueName="[Data_Table].[Gallons].[All]" dimensionUniqueName="[Data_Table]" displayFolder="" count="0" memberValueDatatype="5" unbalanced="0"/>
    <cacheHierarchy uniqueName="[Data_Table].[Cost]" caption="Cost" attribute="1" defaultMemberUniqueName="[Data_Table].[Cost].[All]" allUniqueName="[Data_Table].[Cost].[All]" dimensionUniqueName="[Data_Table]" displayFolder="" count="0" memberValueDatatype="5" unbalanced="0"/>
    <cacheHierarchy uniqueName="[Data_Table].[Miles Accumulated]" caption="Miles Accumulated" attribute="1" defaultMemberUniqueName="[Data_Table].[Miles Accumulated].[All]" allUniqueName="[Data_Table].[Miles Accumulated].[All]" dimensionUniqueName="[Data_Table]" displayFolder="" count="0" memberValueDatatype="20" unbalanced="0"/>
    <cacheHierarchy uniqueName="[Data_Table].[Kilometres Accumulated]" caption="Kilometres Accumulated" attribute="1" defaultMemberUniqueName="[Data_Table].[Kilometres Accumulated].[All]" allUniqueName="[Data_Table].[Kilometres Accumulated].[All]" dimensionUniqueName="[Data_Table]" displayFolder="" count="0" memberValueDatatype="5" unbalanced="0"/>
    <cacheHierarchy uniqueName="[Data_Table].[Price Per Gallon]" caption="Price Per Gallon" attribute="1" defaultMemberUniqueName="[Data_Table].[Price Per Gallon].[All]" allUniqueName="[Data_Table].[Price Per Gallon].[All]" dimensionUniqueName="[Data_Table]" displayFolder="" count="0" memberValueDatatype="5" unbalanced="0"/>
    <cacheHierarchy uniqueName="[Data_Table].[Miles Per Gallon]" caption="Miles Per Gallon" attribute="1" defaultMemberUniqueName="[Data_Table].[Miles Per Gallon].[All]" allUniqueName="[Data_Table].[Miles Per Gallon].[All]" dimensionUniqueName="[Data_Table]" displayFolder="" count="0" memberValueDatatype="5" unbalanced="0"/>
    <cacheHierarchy uniqueName="[Data_Table].[Miles since purchase]" caption="Miles since purchase" attribute="1" defaultMemberUniqueName="[Data_Table].[Miles since purchase].[All]" allUniqueName="[Data_Table].[Miles since purchase].[All]" dimensionUniqueName="[Data_Table]" displayFolder="" count="0" memberValueDatatype="20" unbalanced="0"/>
    <cacheHierarchy uniqueName="[Data_Table].[Kilometres since purchase]" caption="Kilometres since purchase" attribute="1" defaultMemberUniqueName="[Data_Table].[Kilometres since purchase].[All]" allUniqueName="[Data_Table].[Kilometres since purchase].[All]" dimensionUniqueName="[Data_Table]" displayFolder="" count="0" memberValueDatatype="5" unbalanced="0"/>
    <cacheHierarchy uniqueName="[Data_Table].[Date (Quarter)]" caption="Date (Quarter)" attribute="1" defaultMemberUniqueName="[Data_Table].[Date (Quarter)].[All]" allUniqueName="[Data_Table].[Date (Quarter)].[All]" dimensionUniqueName="[Data_Table]" displayFolder="" count="0" memberValueDatatype="130" unbalanced="0"/>
    <cacheHierarchy uniqueName="[Data_Table].[Date (Month)]" caption="Date (Month)" attribute="1" defaultMemberUniqueName="[Data_Table].[Date (Month)].[All]" allUniqueName="[Data_Table].[Date (Month)].[All]" dimensionUniqueName="[Data_Table]" displayFolder="" count="2" memberValueDatatype="130" unbalanced="0">
      <fieldsUsage count="2">
        <fieldUsage x="-1"/>
        <fieldUsage x="0"/>
      </fieldsUsage>
    </cacheHierarchy>
    <cacheHierarchy uniqueName="[Data_Table].[Date (Month Index)]" caption="Date (Month Index)" attribute="1" defaultMemberUniqueName="[Data_Table].[Date (Month Index)].[All]" allUniqueName="[Data_Table].[Date (Month Index)].[All]" dimensionUniqueName="[Data_Table]" displayFolder="" count="0" memberValueDatatype="20" unbalanced="0" hidden="1"/>
    <cacheHierarchy uniqueName="[Measures].[__XL_Count Data_Table]" caption="__XL_Count Data_Table" measure="1" displayFolder="" measureGroup="Data_Table" count="0" hidden="1"/>
    <cacheHierarchy uniqueName="[Measures].[__No measures defined]" caption="__No measures defined" measure="1" displayFolder="" count="0" hidden="1"/>
    <cacheHierarchy uniqueName="[Measures].[Sum of Miles Accumulated]" caption="Sum of Miles Accumulated" measure="1" displayFolder="" measureGroup="Data_Tabl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Miles]" caption="Sum of Miles" measure="1" displayFolder="" measureGroup="Data_Tabl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ost]" caption="Sum of Cost" measure="1" displayFolder="" measureGroup="Data_Table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Gallons]" caption="Sum of Gallons" measure="1" displayFolder="" measureGroup="Data_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ice Per Gallon]" caption="Sum of Price Per Gallon" measure="1" displayFolder="" measureGroup="Data_Tabl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Miles Per Gallon]" caption="Sum of Miles Per Gallon" measure="1" displayFolder="" measureGroup="Data_Tabl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Miles since purchase]" caption="Sum of Miles since purchase" measure="1" displayFolder="" measureGroup="Data_Tabl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Average of Miles Per Gallon]" caption="Average of Miles Per Gallon" measure="1" displayFolder="" measureGroup="Data_Table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Price Per Gallon]" caption="Average of Price Per Gallon" measure="1" displayFolder="" measureGroup="Data_Table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Data_Table" uniqueName="[Data_Table]" caption="Data_Table"/>
    <dimension measure="1" name="Measures" uniqueName="[Measures]" caption="Measures"/>
  </dimensions>
  <measureGroups count="1">
    <measureGroup name="Data_Table" caption="Data_Tabl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ssica Musset" refreshedDate="44530.511762847222" backgroundQuery="1" createdVersion="7" refreshedVersion="7" minRefreshableVersion="3" recordCount="0" supportSubquery="1" supportAdvancedDrill="1" xr:uid="{B2F3246C-28FA-4A31-A505-E818DC00E12F}">
  <cacheSource type="external" connectionId="1"/>
  <cacheFields count="4">
    <cacheField name="[Data_Table].[Date (Month)].[Date (Month)]" caption="Date (Month)" numFmtId="0" hierarchy="11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Measures].[Sum of Miles Accumulated]" caption="Sum of Miles Accumulated" numFmtId="0" hierarchy="15" level="32767"/>
    <cacheField name="[Measures].[Sum of Cost]" caption="Sum of Cost" numFmtId="0" hierarchy="17" level="32767"/>
    <cacheField name="[Data_Table].[Date].[Date]" caption="Date" numFmtId="0" level="1">
      <sharedItems containsSemiMixedTypes="0" containsNonDate="0" containsString="0"/>
    </cacheField>
  </cacheFields>
  <cacheHierarchies count="24">
    <cacheHierarchy uniqueName="[Data_Table].[Date]" caption="Date" attribute="1" time="1" defaultMemberUniqueName="[Data_Table].[Date].[All]" allUniqueName="[Data_Table].[Date].[All]" dimensionUniqueName="[Data_Table]" displayFolder="" count="2" memberValueDatatype="7" unbalanced="0">
      <fieldsUsage count="2">
        <fieldUsage x="-1"/>
        <fieldUsage x="3"/>
      </fieldsUsage>
    </cacheHierarchy>
    <cacheHierarchy uniqueName="[Data_Table].[Miles]" caption="Miles" attribute="1" defaultMemberUniqueName="[Data_Table].[Miles].[All]" allUniqueName="[Data_Table].[Miles].[All]" dimensionUniqueName="[Data_Table]" displayFolder="" count="0" memberValueDatatype="20" unbalanced="0"/>
    <cacheHierarchy uniqueName="[Data_Table].[Gallons]" caption="Gallons" attribute="1" defaultMemberUniqueName="[Data_Table].[Gallons].[All]" allUniqueName="[Data_Table].[Gallons].[All]" dimensionUniqueName="[Data_Table]" displayFolder="" count="0" memberValueDatatype="5" unbalanced="0"/>
    <cacheHierarchy uniqueName="[Data_Table].[Cost]" caption="Cost" attribute="1" defaultMemberUniqueName="[Data_Table].[Cost].[All]" allUniqueName="[Data_Table].[Cost].[All]" dimensionUniqueName="[Data_Table]" displayFolder="" count="0" memberValueDatatype="5" unbalanced="0"/>
    <cacheHierarchy uniqueName="[Data_Table].[Miles Accumulated]" caption="Miles Accumulated" attribute="1" defaultMemberUniqueName="[Data_Table].[Miles Accumulated].[All]" allUniqueName="[Data_Table].[Miles Accumulated].[All]" dimensionUniqueName="[Data_Table]" displayFolder="" count="0" memberValueDatatype="20" unbalanced="0"/>
    <cacheHierarchy uniqueName="[Data_Table].[Kilometres Accumulated]" caption="Kilometres Accumulated" attribute="1" defaultMemberUniqueName="[Data_Table].[Kilometres Accumulated].[All]" allUniqueName="[Data_Table].[Kilometres Accumulated].[All]" dimensionUniqueName="[Data_Table]" displayFolder="" count="0" memberValueDatatype="5" unbalanced="0"/>
    <cacheHierarchy uniqueName="[Data_Table].[Price Per Gallon]" caption="Price Per Gallon" attribute="1" defaultMemberUniqueName="[Data_Table].[Price Per Gallon].[All]" allUniqueName="[Data_Table].[Price Per Gallon].[All]" dimensionUniqueName="[Data_Table]" displayFolder="" count="0" memberValueDatatype="5" unbalanced="0"/>
    <cacheHierarchy uniqueName="[Data_Table].[Miles Per Gallon]" caption="Miles Per Gallon" attribute="1" defaultMemberUniqueName="[Data_Table].[Miles Per Gallon].[All]" allUniqueName="[Data_Table].[Miles Per Gallon].[All]" dimensionUniqueName="[Data_Table]" displayFolder="" count="0" memberValueDatatype="5" unbalanced="0"/>
    <cacheHierarchy uniqueName="[Data_Table].[Miles since purchase]" caption="Miles since purchase" attribute="1" defaultMemberUniqueName="[Data_Table].[Miles since purchase].[All]" allUniqueName="[Data_Table].[Miles since purchase].[All]" dimensionUniqueName="[Data_Table]" displayFolder="" count="0" memberValueDatatype="20" unbalanced="0"/>
    <cacheHierarchy uniqueName="[Data_Table].[Kilometres since purchase]" caption="Kilometres since purchase" attribute="1" defaultMemberUniqueName="[Data_Table].[Kilometres since purchase].[All]" allUniqueName="[Data_Table].[Kilometres since purchase].[All]" dimensionUniqueName="[Data_Table]" displayFolder="" count="0" memberValueDatatype="5" unbalanced="0"/>
    <cacheHierarchy uniqueName="[Data_Table].[Date (Quarter)]" caption="Date (Quarter)" attribute="1" defaultMemberUniqueName="[Data_Table].[Date (Quarter)].[All]" allUniqueName="[Data_Table].[Date (Quarter)].[All]" dimensionUniqueName="[Data_Table]" displayFolder="" count="0" memberValueDatatype="130" unbalanced="0"/>
    <cacheHierarchy uniqueName="[Data_Table].[Date (Month)]" caption="Date (Month)" attribute="1" defaultMemberUniqueName="[Data_Table].[Date (Month)].[All]" allUniqueName="[Data_Table].[Date (Month)].[All]" dimensionUniqueName="[Data_Table]" displayFolder="" count="2" memberValueDatatype="130" unbalanced="0">
      <fieldsUsage count="2">
        <fieldUsage x="-1"/>
        <fieldUsage x="0"/>
      </fieldsUsage>
    </cacheHierarchy>
    <cacheHierarchy uniqueName="[Data_Table].[Date (Month Index)]" caption="Date (Month Index)" attribute="1" defaultMemberUniqueName="[Data_Table].[Date (Month Index)].[All]" allUniqueName="[Data_Table].[Date (Month Index)].[All]" dimensionUniqueName="[Data_Table]" displayFolder="" count="0" memberValueDatatype="20" unbalanced="0" hidden="1"/>
    <cacheHierarchy uniqueName="[Measures].[__XL_Count Data_Table]" caption="__XL_Count Data_Table" measure="1" displayFolder="" measureGroup="Data_Table" count="0" hidden="1"/>
    <cacheHierarchy uniqueName="[Measures].[__No measures defined]" caption="__No measures defined" measure="1" displayFolder="" count="0" hidden="1"/>
    <cacheHierarchy uniqueName="[Measures].[Sum of Miles Accumulated]" caption="Sum of Miles Accumulated" measure="1" displayFolder="" measureGroup="Data_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Miles]" caption="Sum of Miles" measure="1" displayFolder="" measureGroup="Data_Tabl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ost]" caption="Sum of Cost" measure="1" displayFolder="" measureGroup="Data_Tab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Gallons]" caption="Sum of Gallons" measure="1" displayFolder="" measureGroup="Data_Tab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ice Per Gallon]" caption="Sum of Price Per Gallon" measure="1" displayFolder="" measureGroup="Data_Tabl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Miles Per Gallon]" caption="Sum of Miles Per Gallon" measure="1" displayFolder="" measureGroup="Data_Tabl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Miles since purchase]" caption="Sum of Miles since purchase" measure="1" displayFolder="" measureGroup="Data_Tabl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Average of Miles Per Gallon]" caption="Average of Miles Per Gallon" measure="1" displayFolder="" measureGroup="Data_Tabl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Price Per Gallon]" caption="Average of Price Per Gallon" measure="1" displayFolder="" measureGroup="Data_Tabl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Data_Table" uniqueName="[Data_Table]" caption="Data_Table"/>
    <dimension measure="1" name="Measures" uniqueName="[Measures]" caption="Measures"/>
  </dimensions>
  <measureGroups count="1">
    <measureGroup name="Data_Table" caption="Data_Tabl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ssica Musset" refreshedDate="44530.468056944446" backgroundQuery="1" createdVersion="3" refreshedVersion="7" minRefreshableVersion="3" recordCount="0" supportSubquery="1" supportAdvancedDrill="1" xr:uid="{FE032C27-6274-4C00-95B6-60F8FFED073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2">
    <cacheHierarchy uniqueName="[Data_Table].[Date]" caption="Date" attribute="1" time="1" defaultMemberUniqueName="[Data_Table].[Date].[All]" allUniqueName="[Data_Table].[Date].[All]" dimensionUniqueName="[Data_Table]" displayFolder="" count="2" memberValueDatatype="7" unbalanced="0"/>
    <cacheHierarchy uniqueName="[Data_Table].[Miles]" caption="Miles" attribute="1" defaultMemberUniqueName="[Data_Table].[Miles].[All]" allUniqueName="[Data_Table].[Miles].[All]" dimensionUniqueName="[Data_Table]" displayFolder="" count="0" memberValueDatatype="20" unbalanced="0"/>
    <cacheHierarchy uniqueName="[Data_Table].[Gallons]" caption="Gallons" attribute="1" defaultMemberUniqueName="[Data_Table].[Gallons].[All]" allUniqueName="[Data_Table].[Gallons].[All]" dimensionUniqueName="[Data_Table]" displayFolder="" count="0" memberValueDatatype="5" unbalanced="0"/>
    <cacheHierarchy uniqueName="[Data_Table].[Cost]" caption="Cost" attribute="1" defaultMemberUniqueName="[Data_Table].[Cost].[All]" allUniqueName="[Data_Table].[Cost].[All]" dimensionUniqueName="[Data_Table]" displayFolder="" count="0" memberValueDatatype="5" unbalanced="0"/>
    <cacheHierarchy uniqueName="[Data_Table].[Miles Accumulated]" caption="Miles Accumulated" attribute="1" defaultMemberUniqueName="[Data_Table].[Miles Accumulated].[All]" allUniqueName="[Data_Table].[Miles Accumulated].[All]" dimensionUniqueName="[Data_Table]" displayFolder="" count="0" memberValueDatatype="20" unbalanced="0"/>
    <cacheHierarchy uniqueName="[Data_Table].[Kilometres Accumulated]" caption="Kilometres Accumulated" attribute="1" defaultMemberUniqueName="[Data_Table].[Kilometres Accumulated].[All]" allUniqueName="[Data_Table].[Kilometres Accumulated].[All]" dimensionUniqueName="[Data_Table]" displayFolder="" count="0" memberValueDatatype="5" unbalanced="0"/>
    <cacheHierarchy uniqueName="[Data_Table].[Price Per Gallon]" caption="Price Per Gallon" attribute="1" defaultMemberUniqueName="[Data_Table].[Price Per Gallon].[All]" allUniqueName="[Data_Table].[Price Per Gallon].[All]" dimensionUniqueName="[Data_Table]" displayFolder="" count="0" memberValueDatatype="5" unbalanced="0"/>
    <cacheHierarchy uniqueName="[Data_Table].[Miles Per Gallon]" caption="Miles Per Gallon" attribute="1" defaultMemberUniqueName="[Data_Table].[Miles Per Gallon].[All]" allUniqueName="[Data_Table].[Miles Per Gallon].[All]" dimensionUniqueName="[Data_Table]" displayFolder="" count="0" memberValueDatatype="5" unbalanced="0"/>
    <cacheHierarchy uniqueName="[Data_Table].[Miles since purchase]" caption="Miles since purchase" attribute="1" defaultMemberUniqueName="[Data_Table].[Miles since purchase].[All]" allUniqueName="[Data_Table].[Miles since purchase].[All]" dimensionUniqueName="[Data_Table]" displayFolder="" count="0" memberValueDatatype="20" unbalanced="0"/>
    <cacheHierarchy uniqueName="[Data_Table].[Kilometres since purchase]" caption="Kilometres since purchase" attribute="1" defaultMemberUniqueName="[Data_Table].[Kilometres since purchase].[All]" allUniqueName="[Data_Table].[Kilometres since purchase].[All]" dimensionUniqueName="[Data_Table]" displayFolder="" count="0" memberValueDatatype="5" unbalanced="0"/>
    <cacheHierarchy uniqueName="[Data_Table].[Date (Quarter)]" caption="Date (Quarter)" attribute="1" defaultMemberUniqueName="[Data_Table].[Date (Quarter)].[All]" allUniqueName="[Data_Table].[Date (Quarter)].[All]" dimensionUniqueName="[Data_Table]" displayFolder="" count="0" memberValueDatatype="130" unbalanced="0"/>
    <cacheHierarchy uniqueName="[Data_Table].[Date (Month)]" caption="Date (Month)" attribute="1" defaultMemberUniqueName="[Data_Table].[Date (Month)].[All]" allUniqueName="[Data_Table].[Date (Month)].[All]" dimensionUniqueName="[Data_Table]" displayFolder="" count="0" memberValueDatatype="130" unbalanced="0"/>
    <cacheHierarchy uniqueName="[Data_Table].[Date (Month Index)]" caption="Date (Month Index)" attribute="1" defaultMemberUniqueName="[Data_Table].[Date (Month Index)].[All]" allUniqueName="[Data_Table].[Date (Month Index)].[All]" dimensionUniqueName="[Data_Table]" displayFolder="" count="0" memberValueDatatype="20" unbalanced="0" hidden="1"/>
    <cacheHierarchy uniqueName="[Measures].[__XL_Count Data_Table]" caption="__XL_Count Data_Table" measure="1" displayFolder="" measureGroup="Data_Table" count="0" hidden="1"/>
    <cacheHierarchy uniqueName="[Measures].[__No measures defined]" caption="__No measures defined" measure="1" displayFolder="" count="0" hidden="1"/>
    <cacheHierarchy uniqueName="[Measures].[Sum of Miles Accumulated]" caption="Sum of Miles Accumulated" measure="1" displayFolder="" measureGroup="Data_Tabl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Miles]" caption="Sum of Miles" measure="1" displayFolder="" measureGroup="Data_Tabl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ost]" caption="Sum of Cost" measure="1" displayFolder="" measureGroup="Data_Table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Gallons]" caption="Sum of Gallons" measure="1" displayFolder="" measureGroup="Data_Tab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ice Per Gallon]" caption="Sum of Price Per Gallon" measure="1" displayFolder="" measureGroup="Data_Tabl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Miles Per Gallon]" caption="Sum of Miles Per Gallon" measure="1" displayFolder="" measureGroup="Data_Tabl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Miles since purchase]" caption="Sum of Miles since purchase" measure="1" displayFolder="" measureGroup="Data_Tabl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369090040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n v="34116"/>
    <m/>
    <m/>
    <m/>
    <m/>
    <m/>
    <m/>
    <m/>
    <m/>
  </r>
  <r>
    <x v="1"/>
    <n v="34441"/>
    <n v="11.06"/>
    <n v="37.159999999999997"/>
    <n v="325"/>
    <n v="523.03679999999997"/>
    <n v="3.3598553345388784"/>
    <n v="29.385171790235081"/>
    <n v="325"/>
    <n v="523.03679999999997"/>
  </r>
  <r>
    <x v="2"/>
    <n v="34808"/>
    <n v="11.3"/>
    <n v="39.1"/>
    <n v="367"/>
    <n v="590.62924800000008"/>
    <n v="3.4601769911504423"/>
    <n v="32.477876106194685"/>
    <n v="692"/>
    <n v="1113.666048"/>
  </r>
  <r>
    <x v="3"/>
    <n v="35143"/>
    <n v="10.84"/>
    <n v="39.47"/>
    <n v="335"/>
    <n v="539.13023999999996"/>
    <n v="3.6411439114391144"/>
    <n v="30.904059040590408"/>
    <n v="1027"/>
    <n v="1652.796288"/>
  </r>
  <r>
    <x v="4"/>
    <n v="35469"/>
    <n v="10.86"/>
    <n v="38"/>
    <n v="326"/>
    <n v="524.64614399999994"/>
    <n v="3.4990791896869249"/>
    <n v="30.018416206261513"/>
    <n v="1353"/>
    <n v="2177.4424319999998"/>
  </r>
  <r>
    <x v="5"/>
    <n v="35814"/>
    <n v="11.18"/>
    <n v="39.119999999999997"/>
    <n v="345"/>
    <n v="555.22368000000006"/>
    <n v="3.4991055456171734"/>
    <n v="30.858676207513419"/>
    <n v="1698"/>
    <n v="2732.6661119999999"/>
  </r>
  <r>
    <x v="6"/>
    <n v="36146"/>
    <n v="11.35"/>
    <n v="40.880000000000003"/>
    <n v="332"/>
    <n v="534.30220799999995"/>
    <n v="3.6017621145374452"/>
    <n v="29.251101321585903"/>
    <n v="2030"/>
    <n v="3266.9683199999999"/>
  </r>
  <r>
    <x v="7"/>
    <n v="36482"/>
    <n v="11.18"/>
    <n v="42.52"/>
    <n v="336"/>
    <n v="540.73958400000004"/>
    <n v="3.8032200357781756"/>
    <n v="30.05366726296959"/>
    <n v="2366"/>
    <n v="3807.7079039999999"/>
  </r>
  <r>
    <x v="8"/>
    <n v="36778"/>
    <n v="9.15"/>
    <n v="34.75"/>
    <n v="296"/>
    <n v="476.36582400000003"/>
    <n v="3.7978142076502732"/>
    <n v="32.349726775956285"/>
    <n v="2662"/>
    <n v="4284.0737280000003"/>
  </r>
  <r>
    <x v="9"/>
    <n v="37148"/>
    <n v="10.94"/>
    <n v="42.2"/>
    <n v="370"/>
    <n v="595.45728000000008"/>
    <n v="3.8574040219378434"/>
    <n v="33.820840950639855"/>
    <n v="3032"/>
    <n v="4879.5310079999999"/>
  </r>
  <r>
    <x v="10"/>
    <n v="37524"/>
    <n v="11.27"/>
    <n v="43.5"/>
    <n v="376"/>
    <n v="605.1133440000001"/>
    <n v="3.8598047914818103"/>
    <n v="33.362910381543927"/>
    <n v="3408"/>
    <n v="5484.6443520000003"/>
  </r>
  <r>
    <x v="11"/>
    <n v="37861"/>
    <n v="10.93"/>
    <n v="43.72"/>
    <n v="337"/>
    <n v="542.348928"/>
    <n v="4"/>
    <n v="30.832570905763955"/>
    <n v="3745"/>
    <n v="6026.9932800000006"/>
  </r>
  <r>
    <x v="12"/>
    <n v="38201"/>
    <n v="11.17"/>
    <n v="44.1"/>
    <n v="340"/>
    <n v="547.17696000000001"/>
    <n v="3.9480752014324083"/>
    <n v="30.438675022381378"/>
    <n v="4085"/>
    <n v="6574.1702400000004"/>
  </r>
  <r>
    <x v="13"/>
    <n v="38562"/>
    <n v="11.16"/>
    <n v="43.51"/>
    <n v="361"/>
    <n v="580.97318400000006"/>
    <n v="3.8987455197132612"/>
    <n v="32.347670250896059"/>
    <n v="4446"/>
    <n v="7155.1434240000008"/>
  </r>
  <r>
    <x v="14"/>
    <n v="38918"/>
    <n v="10.98"/>
    <n v="41.31"/>
    <n v="356"/>
    <n v="572.92646400000001"/>
    <n v="3.762295081967213"/>
    <n v="32.422586520947178"/>
    <n v="4802"/>
    <n v="7728.0698880000009"/>
  </r>
  <r>
    <x v="15"/>
    <n v="39275"/>
    <n v="11.4"/>
    <n v="41.08"/>
    <n v="357"/>
    <n v="574.53580799999997"/>
    <n v="3.6035087719298242"/>
    <n v="31.315789473684209"/>
    <n v="5159"/>
    <n v="8302.6056960000005"/>
  </r>
  <r>
    <x v="16"/>
    <n v="39642"/>
    <n v="11.1"/>
    <n v="39.51"/>
    <n v="367"/>
    <n v="590.62924800000008"/>
    <n v="3.5594594594594593"/>
    <n v="33.063063063063062"/>
    <n v="5526"/>
    <n v="8893.2349439999998"/>
  </r>
  <r>
    <x v="17"/>
    <n v="40011"/>
    <n v="11.57"/>
    <n v="39.299999999999997"/>
    <n v="369"/>
    <n v="593.847936"/>
    <n v="3.396715643906655"/>
    <n v="31.892826274848748"/>
    <n v="5895"/>
    <n v="9487.0828799999999"/>
  </r>
  <r>
    <x v="18"/>
    <n v="40378"/>
    <n v="11.61"/>
    <n v="40.159999999999997"/>
    <n v="367"/>
    <n v="590.62924800000008"/>
    <n v="3.4590869939707147"/>
    <n v="31.610680447889752"/>
    <n v="6262"/>
    <n v="10077.712127999999"/>
  </r>
  <r>
    <x v="19"/>
    <n v="40736"/>
    <n v="11.11"/>
    <n v="39.57"/>
    <n v="358"/>
    <n v="576.14515200000005"/>
    <n v="3.561656165616562"/>
    <n v="32.223222322232225"/>
    <n v="6620"/>
    <n v="10653.85728"/>
  </r>
  <r>
    <x v="20"/>
    <n v="41110"/>
    <n v="11.72"/>
    <n v="43.38"/>
    <n v="374"/>
    <n v="601.89465599999994"/>
    <n v="3.7013651877133107"/>
    <n v="31.911262798634812"/>
    <n v="6994"/>
    <n v="11255.751936000001"/>
  </r>
  <r>
    <x v="21"/>
    <n v="41495"/>
    <n v="11.02"/>
    <n v="40.76"/>
    <n v="385"/>
    <n v="619.59743999999989"/>
    <n v="3.6987295825771325"/>
    <n v="34.936479128856625"/>
    <n v="7379"/>
    <n v="11875.349376"/>
  </r>
  <r>
    <x v="22"/>
    <n v="41873"/>
    <n v="11.08"/>
    <n v="42.08"/>
    <n v="378"/>
    <n v="608.33203200000003"/>
    <n v="3.7978339350180503"/>
    <n v="34.115523465703973"/>
    <n v="7757"/>
    <n v="12483.681408"/>
  </r>
  <r>
    <x v="23"/>
    <n v="42232"/>
    <n v="11.27"/>
    <n v="44.65"/>
    <n v="359"/>
    <n v="577.75449600000002"/>
    <n v="3.9618456078083408"/>
    <n v="31.854480922803905"/>
    <n v="8116"/>
    <n v="13061.435904"/>
  </r>
  <r>
    <x v="24"/>
    <n v="42593"/>
    <n v="11.09"/>
    <n v="43.27"/>
    <n v="361"/>
    <n v="580.97318400000006"/>
    <n v="3.9017132551848515"/>
    <n v="32.55184851217313"/>
    <n v="8477"/>
    <n v="13642.409088"/>
  </r>
  <r>
    <x v="25"/>
    <n v="42967"/>
    <n v="11.47"/>
    <n v="44.73"/>
    <n v="374"/>
    <n v="601.89465599999994"/>
    <n v="3.8997384481255444"/>
    <n v="32.606800348735831"/>
    <n v="8851"/>
    <n v="14244.303744000001"/>
  </r>
  <r>
    <x v="26"/>
    <n v="43311"/>
    <n v="11.07"/>
    <n v="41.6"/>
    <n v="344"/>
    <n v="553.61433599999998"/>
    <n v="3.7579042457091236"/>
    <n v="31.074977416440831"/>
    <n v="9195"/>
    <n v="14797.918080000001"/>
  </r>
  <r>
    <x v="27"/>
    <n v="43684"/>
    <n v="11.6"/>
    <n v="42.47"/>
    <n v="373"/>
    <n v="600.28531200000009"/>
    <n v="3.6612068965517239"/>
    <n v="32.155172413793103"/>
    <n v="9568"/>
    <n v="15398.203392000001"/>
  </r>
  <r>
    <x v="28"/>
    <n v="44029"/>
    <n v="11.64"/>
    <n v="42.6"/>
    <n v="345"/>
    <n v="555.22368000000006"/>
    <n v="3.6597938144329896"/>
    <n v="29.639175257731956"/>
    <n v="9913"/>
    <n v="15953.427072000002"/>
  </r>
  <r>
    <x v="29"/>
    <n v="44374"/>
    <n v="11.12"/>
    <n v="40.700000000000003"/>
    <n v="345"/>
    <n v="555.22368000000006"/>
    <n v="3.6600719424460437"/>
    <n v="31.025179856115109"/>
    <n v="10258"/>
    <n v="16508.650752000001"/>
  </r>
  <r>
    <x v="30"/>
    <n v="44721"/>
    <n v="11.06"/>
    <n v="38.72"/>
    <n v="347"/>
    <n v="558.44236799999999"/>
    <n v="3.5009041591320069"/>
    <n v="31.374321880650992"/>
    <n v="10605"/>
    <n v="17067.093120000001"/>
  </r>
  <r>
    <x v="31"/>
    <n v="45039"/>
    <n v="10.89"/>
    <n v="37"/>
    <n v="318"/>
    <n v="511.77139199999999"/>
    <n v="3.3976124885215793"/>
    <n v="29.201101928374655"/>
    <n v="10923"/>
    <n v="17578.8645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n v="34116"/>
    <m/>
    <m/>
    <m/>
    <m/>
    <m/>
    <m/>
    <m/>
    <m/>
  </r>
  <r>
    <x v="1"/>
    <n v="34441"/>
    <n v="11.06"/>
    <n v="37.159999999999997"/>
    <n v="325"/>
    <n v="523.03679999999997"/>
    <n v="3.3598553345388784"/>
    <n v="29.385171790235081"/>
    <n v="325"/>
    <n v="523.03679999999997"/>
  </r>
  <r>
    <x v="2"/>
    <n v="34808"/>
    <n v="11.3"/>
    <n v="39.1"/>
    <n v="367"/>
    <n v="590.62924800000008"/>
    <n v="3.4601769911504423"/>
    <n v="32.477876106194685"/>
    <n v="692"/>
    <n v="1113.666048"/>
  </r>
  <r>
    <x v="3"/>
    <n v="35143"/>
    <n v="10.84"/>
    <n v="39.47"/>
    <n v="335"/>
    <n v="539.13023999999996"/>
    <n v="3.6411439114391144"/>
    <n v="30.904059040590408"/>
    <n v="1027"/>
    <n v="1652.796288"/>
  </r>
  <r>
    <x v="4"/>
    <n v="35469"/>
    <n v="10.86"/>
    <n v="38"/>
    <n v="326"/>
    <n v="524.64614399999994"/>
    <n v="3.4990791896869249"/>
    <n v="30.018416206261513"/>
    <n v="1353"/>
    <n v="2177.4424319999998"/>
  </r>
  <r>
    <x v="5"/>
    <n v="35814"/>
    <n v="11.18"/>
    <n v="39.119999999999997"/>
    <n v="345"/>
    <n v="555.22368000000006"/>
    <n v="3.4991055456171734"/>
    <n v="30.858676207513419"/>
    <n v="1698"/>
    <n v="2732.6661119999999"/>
  </r>
  <r>
    <x v="6"/>
    <n v="36146"/>
    <n v="11.35"/>
    <n v="40.880000000000003"/>
    <n v="332"/>
    <n v="534.30220799999995"/>
    <n v="3.6017621145374452"/>
    <n v="29.251101321585903"/>
    <n v="2030"/>
    <n v="3266.9683199999999"/>
  </r>
  <r>
    <x v="7"/>
    <n v="36482"/>
    <n v="11.18"/>
    <n v="42.52"/>
    <n v="336"/>
    <n v="540.73958400000004"/>
    <n v="3.8032200357781756"/>
    <n v="30.05366726296959"/>
    <n v="2366"/>
    <n v="3807.7079039999999"/>
  </r>
  <r>
    <x v="8"/>
    <n v="36778"/>
    <n v="9.15"/>
    <n v="34.75"/>
    <n v="296"/>
    <n v="476.36582400000003"/>
    <n v="3.7978142076502732"/>
    <n v="32.349726775956285"/>
    <n v="2662"/>
    <n v="4284.0737280000003"/>
  </r>
  <r>
    <x v="9"/>
    <n v="37148"/>
    <n v="10.94"/>
    <n v="42.2"/>
    <n v="370"/>
    <n v="595.45728000000008"/>
    <n v="3.8574040219378434"/>
    <n v="33.820840950639855"/>
    <n v="3032"/>
    <n v="4879.5310079999999"/>
  </r>
  <r>
    <x v="10"/>
    <n v="37524"/>
    <n v="11.27"/>
    <n v="43.5"/>
    <n v="376"/>
    <n v="605.1133440000001"/>
    <n v="3.8598047914818103"/>
    <n v="33.362910381543927"/>
    <n v="3408"/>
    <n v="5484.6443520000003"/>
  </r>
  <r>
    <x v="11"/>
    <n v="37861"/>
    <n v="10.93"/>
    <n v="43.72"/>
    <n v="337"/>
    <n v="542.348928"/>
    <n v="4"/>
    <n v="30.832570905763955"/>
    <n v="3745"/>
    <n v="6026.9932800000006"/>
  </r>
  <r>
    <x v="12"/>
    <n v="38201"/>
    <n v="11.17"/>
    <n v="44.1"/>
    <n v="340"/>
    <n v="547.17696000000001"/>
    <n v="3.9480752014324083"/>
    <n v="30.438675022381378"/>
    <n v="4085"/>
    <n v="6574.1702400000004"/>
  </r>
  <r>
    <x v="13"/>
    <n v="38562"/>
    <n v="11.16"/>
    <n v="43.51"/>
    <n v="361"/>
    <n v="580.97318400000006"/>
    <n v="3.8987455197132612"/>
    <n v="32.347670250896059"/>
    <n v="4446"/>
    <n v="7155.1434240000008"/>
  </r>
  <r>
    <x v="14"/>
    <n v="38918"/>
    <n v="10.98"/>
    <n v="41.31"/>
    <n v="356"/>
    <n v="572.92646400000001"/>
    <n v="3.762295081967213"/>
    <n v="32.422586520947178"/>
    <n v="4802"/>
    <n v="7728.0698880000009"/>
  </r>
  <r>
    <x v="15"/>
    <n v="39275"/>
    <n v="11.4"/>
    <n v="41.08"/>
    <n v="357"/>
    <n v="574.53580799999997"/>
    <n v="3.6035087719298242"/>
    <n v="31.315789473684209"/>
    <n v="5159"/>
    <n v="8302.6056960000005"/>
  </r>
  <r>
    <x v="16"/>
    <n v="39642"/>
    <n v="11.1"/>
    <n v="39.51"/>
    <n v="367"/>
    <n v="590.62924800000008"/>
    <n v="3.5594594594594593"/>
    <n v="33.063063063063062"/>
    <n v="5526"/>
    <n v="8893.2349439999998"/>
  </r>
  <r>
    <x v="17"/>
    <n v="40011"/>
    <n v="11.57"/>
    <n v="39.299999999999997"/>
    <n v="369"/>
    <n v="593.847936"/>
    <n v="3.396715643906655"/>
    <n v="31.892826274848748"/>
    <n v="5895"/>
    <n v="9487.0828799999999"/>
  </r>
  <r>
    <x v="18"/>
    <n v="40378"/>
    <n v="11.61"/>
    <n v="40.159999999999997"/>
    <n v="367"/>
    <n v="590.62924800000008"/>
    <n v="3.4590869939707147"/>
    <n v="31.610680447889752"/>
    <n v="6262"/>
    <n v="10077.712127999999"/>
  </r>
  <r>
    <x v="19"/>
    <n v="40736"/>
    <n v="11.11"/>
    <n v="39.57"/>
    <n v="358"/>
    <n v="576.14515200000005"/>
    <n v="3.561656165616562"/>
    <n v="32.223222322232225"/>
    <n v="6620"/>
    <n v="10653.85728"/>
  </r>
  <r>
    <x v="20"/>
    <n v="41110"/>
    <n v="11.72"/>
    <n v="43.38"/>
    <n v="374"/>
    <n v="601.89465599999994"/>
    <n v="3.7013651877133107"/>
    <n v="31.911262798634812"/>
    <n v="6994"/>
    <n v="11255.751936000001"/>
  </r>
  <r>
    <x v="21"/>
    <n v="41495"/>
    <n v="11.02"/>
    <n v="40.76"/>
    <n v="385"/>
    <n v="619.59743999999989"/>
    <n v="3.6987295825771325"/>
    <n v="34.936479128856625"/>
    <n v="7379"/>
    <n v="11875.349376"/>
  </r>
  <r>
    <x v="22"/>
    <n v="41873"/>
    <n v="11.08"/>
    <n v="42.08"/>
    <n v="378"/>
    <n v="608.33203200000003"/>
    <n v="3.7978339350180503"/>
    <n v="34.115523465703973"/>
    <n v="7757"/>
    <n v="12483.681408"/>
  </r>
  <r>
    <x v="23"/>
    <n v="42232"/>
    <n v="11.27"/>
    <n v="44.65"/>
    <n v="359"/>
    <n v="577.75449600000002"/>
    <n v="3.9618456078083408"/>
    <n v="31.854480922803905"/>
    <n v="8116"/>
    <n v="13061.435904"/>
  </r>
  <r>
    <x v="24"/>
    <n v="42593"/>
    <n v="11.09"/>
    <n v="43.27"/>
    <n v="361"/>
    <n v="580.97318400000006"/>
    <n v="3.9017132551848515"/>
    <n v="32.55184851217313"/>
    <n v="8477"/>
    <n v="13642.409088"/>
  </r>
  <r>
    <x v="25"/>
    <n v="42967"/>
    <n v="11.47"/>
    <n v="44.73"/>
    <n v="374"/>
    <n v="601.89465599999994"/>
    <n v="3.8997384481255444"/>
    <n v="32.606800348735831"/>
    <n v="8851"/>
    <n v="14244.303744000001"/>
  </r>
  <r>
    <x v="26"/>
    <n v="43311"/>
    <n v="11.07"/>
    <n v="41.6"/>
    <n v="344"/>
    <n v="553.61433599999998"/>
    <n v="3.7579042457091236"/>
    <n v="31.074977416440831"/>
    <n v="9195"/>
    <n v="14797.918080000001"/>
  </r>
  <r>
    <x v="27"/>
    <n v="43684"/>
    <n v="11.6"/>
    <n v="42.47"/>
    <n v="373"/>
    <n v="600.28531200000009"/>
    <n v="3.6612068965517239"/>
    <n v="32.155172413793103"/>
    <n v="9568"/>
    <n v="15398.203392000001"/>
  </r>
  <r>
    <x v="28"/>
    <n v="44029"/>
    <n v="11.64"/>
    <n v="42.6"/>
    <n v="345"/>
    <n v="555.22368000000006"/>
    <n v="3.6597938144329896"/>
    <n v="29.639175257731956"/>
    <n v="9913"/>
    <n v="15953.427072000002"/>
  </r>
  <r>
    <x v="29"/>
    <n v="44374"/>
    <n v="11.12"/>
    <n v="40.700000000000003"/>
    <n v="345"/>
    <n v="555.22368000000006"/>
    <n v="3.6600719424460437"/>
    <n v="31.025179856115109"/>
    <n v="10258"/>
    <n v="16508.650752000001"/>
  </r>
  <r>
    <x v="30"/>
    <n v="44721"/>
    <n v="11.06"/>
    <n v="38.72"/>
    <n v="347"/>
    <n v="558.44236799999999"/>
    <n v="3.5009041591320069"/>
    <n v="31.374321880650992"/>
    <n v="10605"/>
    <n v="17067.093120000001"/>
  </r>
  <r>
    <x v="31"/>
    <n v="45039"/>
    <n v="10.89"/>
    <n v="37"/>
    <n v="318"/>
    <n v="511.77139199999999"/>
    <n v="3.3976124885215793"/>
    <n v="29.201101928374655"/>
    <n v="10923"/>
    <n v="17578.8645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F3DD2D-A582-44F1-8514-AA45E27D5A48}" name="PivotTable4" cacheId="4" applyNumberFormats="0" applyBorderFormats="0" applyFontFormats="0" applyPatternFormats="0" applyAlignmentFormats="0" applyWidthHeightFormats="1" dataCaption="Values" tag="5f4c170e-a67f-48de-8c10-813a0aabe479" updatedVersion="7" minRefreshableVersion="5" useAutoFormatting="1" subtotalHiddenItems="1" itemPrintTitles="1" createdVersion="7" indent="0" outline="1" outlineData="1" multipleFieldFilters="0" chartFormat="1">
  <location ref="A76:C89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iles Accumulated" fld="1" baseField="0" baseItem="0"/>
    <dataField name="Sum of Cost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3" type="dateBetween" evalOrder="-1" id="5" name="[Data_Table].[Date]">
      <autoFilter ref="A1">
        <filterColumn colId="0">
          <customFilters and="1">
            <customFilter operator="greaterThanOrEqual" val="43831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C6B18-271F-481A-831A-087FC3673CAD}" name="PivotTable3" cacheId="3" applyNumberFormats="0" applyBorderFormats="0" applyFontFormats="0" applyPatternFormats="0" applyAlignmentFormats="0" applyWidthHeightFormats="1" dataCaption="Values" tag="eaede173-5f8d-46c0-ae1f-7754f9af626e" updatedVersion="7" minRefreshableVersion="5" useAutoFormatting="1" subtotalHiddenItems="1" itemPrintTitles="1" createdVersion="7" indent="0" outline="1" outlineData="1" multipleFieldFilters="0" chartFormat="1" rowHeaderCaption="Months">
  <location ref="A60:D73" firstHeaderRow="0" firstDataRow="1" firstDataCol="1"/>
  <pivotFields count="5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Gallons" fld="1" baseField="0" baseItem="0"/>
    <dataField name="Average Miles Per Gallon" fld="3" subtotal="average" baseField="0" baseItem="0"/>
    <dataField name="Average Price Per Gallon" fld="4" subtotal="average" baseField="0" baseItem="0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erage Miles Per Gallon"/>
    <pivotHierarchy dragToData="1" caption="Average Price Per Gallon"/>
  </pivotHierarchies>
  <pivotTableStyleInfo name="PivotStyleLight16" showRowHeaders="1" showColHeaders="1" showRowStripes="0" showColStripes="0" showLastColumn="1"/>
  <filters count="1">
    <filter fld="2" type="dateBetween" evalOrder="-1" id="17" name="[Data_Table].[Date]">
      <autoFilter ref="A1">
        <filterColumn colId="0">
          <customFilters and="1">
            <customFilter operator="greaterThanOrEqual" val="43831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14DF26-84FA-4A8B-B17F-AFA049D9B63B}" name="PivotTable4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 rowHeaderCaption="Quarter">
  <location ref="A3:D8" firstHeaderRow="0" firstDataRow="1" firstDataCol="1"/>
  <pivotFields count="5">
    <pivotField dataField="1" subtotalTop="0" showAll="0" defaultSubtotal="0"/>
    <pivotField axis="axisRow" allDrilled="1" showAll="0" dataSourceSort="1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allDrilled="1" subtotalTop="0" showAll="0" dataSourceSort="1" defaultSubtotal="0">
      <items count="4">
        <item n="1st Quarter" x="0" e="0"/>
        <item n="2nd Quarter" x="1" e="0"/>
        <item n="3rd Quarter" x="2" e="0"/>
        <item n="4th Quarter" x="3" e="0"/>
      </items>
    </pivotField>
    <pivotField dataField="1" subtotalTop="0" showAll="0" defaultSubtotal="0"/>
    <pivotField dataField="1" subtotalTop="0" showAll="0" defaultSubtotal="0"/>
  </pivotFields>
  <rowFields count="2">
    <field x="2"/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Miles Accumulated" fld="0" baseField="0" baseItem="0" numFmtId="2"/>
    <dataField name="Cost" fld="3" baseField="0" baseItem="0"/>
    <dataField name="Gallons" fld="4" baseField="2" baseItem="0"/>
  </dataFields>
  <formats count="2"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st"/>
    <pivotHierarchy dragToData="1" caption="Gallons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0"/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Xander Fuel - Jess.xlsx!Data_Table">
        <x15:activeTabTopLevelEntity name="[Data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EF1E1E-ACE8-4909-B695-2021A2AFFDF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5:D19" firstHeaderRow="0" firstDataRow="1" firstDataCol="1"/>
  <pivotFields count="11"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6"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Miles Accumulated" fld="4" baseField="0" baseItem="0"/>
    <dataField name="Average of Miles Per Gallon" fld="7" subtotal="average" baseField="0" baseItem="0"/>
    <dataField name="Average of Price Per Gallon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D934EE-EAF1-40BA-90EC-EE6D191542AC}" name="PivotTable11" cacheId="1" applyNumberFormats="0" applyBorderFormats="0" applyFontFormats="0" applyPatternFormats="0" applyAlignmentFormats="0" applyWidthHeightFormats="1" dataCaption="Values" updatedVersion="7" minRefreshableVersion="5" useAutoFormatting="1" itemPrintTitles="1" createdVersion="7" indent="0" outline="1" outlineData="1" multipleFieldFilters="0" chartFormat="1">
  <location ref="A1:F14" firstHeaderRow="0" firstDataRow="1" firstDataCol="1"/>
  <pivotFields count="11"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66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Gallons" fld="2" baseField="0" baseItem="0"/>
    <dataField name="Sum of Cost" fld="3" baseField="0" baseItem="0"/>
    <dataField name="Sum of Miles Accumulated" fld="4" baseField="0" baseItem="0"/>
    <dataField name="Average of Price Per Gallon" fld="6" subtotal="average" baseField="0" baseItem="0"/>
    <dataField name="Average of Miles Per Gallon" fld="7" subtotal="average" baseField="0" baseItem="0"/>
  </dataFields>
  <pivotTableStyleInfo name="PivotStyleLight16" showRowHeaders="1" showColHeaders="1" showRowStripes="0" showColStripes="0" showLastColumn="1"/>
  <filters count="1">
    <filter fld="0" type="dateBetween" evalOrder="-1" id="16" name="Date">
      <autoFilter ref="A1">
        <filterColumn colId="0">
          <customFilters and="1">
            <customFilter operator="greaterThanOrEqual" val="43831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e" xr10:uid="{F84DBF77-9304-48F6-80C5-05476C85E31C}" sourceName="[Data_Table].[Date]">
  <pivotTables>
    <pivotTable tabId="2" name="PivotTable3"/>
    <pivotTable tabId="2" name="PivotTable4"/>
  </pivotTables>
  <state minimalRefreshVersion="6" lastRefreshVersion="6" pivotCacheId="1369090040" filterType="dateBetween">
    <selection startDate="2020-01-01T00:00:00" endDate="2020-12-31T00:00:00"/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0C9A7833-4B93-4E02-B8BF-B0F4717FB5C7}" cache="Timeline_Date" caption="Date" level="2" selectionLevel="0" scrollPosition="2020-01-01T00:00:00" style="TimeSlicerStyleLight3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9551A-3494-435C-9D82-11792721557B}">
  <sheetPr codeName="Sheet1"/>
  <dimension ref="A1:AQ156"/>
  <sheetViews>
    <sheetView tabSelected="1" zoomScale="70" zoomScaleNormal="70" workbookViewId="0">
      <selection activeCell="L4" sqref="L4"/>
    </sheetView>
  </sheetViews>
  <sheetFormatPr defaultRowHeight="14.4" x14ac:dyDescent="0.3"/>
  <cols>
    <col min="1" max="1" width="9" customWidth="1"/>
    <col min="2" max="2" width="25.109375" style="23" customWidth="1"/>
    <col min="3" max="3" width="24.33203125" style="23" customWidth="1"/>
    <col min="4" max="4" width="21.77734375" bestFit="1" customWidth="1"/>
    <col min="5" max="5" width="1.88671875" style="34" customWidth="1"/>
    <col min="6" max="6" width="8.109375" style="34" customWidth="1"/>
    <col min="7" max="7" width="23.77734375" customWidth="1"/>
    <col min="8" max="8" width="23.44140625" customWidth="1"/>
    <col min="9" max="9" width="26.44140625" customWidth="1"/>
    <col min="10" max="33" width="11.88671875" style="34" bestFit="1" customWidth="1"/>
    <col min="34" max="34" width="11.109375" style="34" bestFit="1" customWidth="1"/>
    <col min="35" max="35" width="8.88671875" style="34"/>
  </cols>
  <sheetData>
    <row r="1" spans="1:43" s="34" customFormat="1" ht="14.4" customHeight="1" x14ac:dyDescent="0.3">
      <c r="B1" s="35"/>
      <c r="C1" s="35"/>
    </row>
    <row r="2" spans="1:43" s="24" customFormat="1" ht="28.2" customHeight="1" x14ac:dyDescent="0.3">
      <c r="A2" s="46" t="s">
        <v>51</v>
      </c>
      <c r="B2" s="27" t="s">
        <v>40</v>
      </c>
      <c r="C2" s="27" t="s">
        <v>39</v>
      </c>
      <c r="D2" s="27" t="s">
        <v>28</v>
      </c>
      <c r="F2" s="44" t="s">
        <v>47</v>
      </c>
      <c r="G2" s="37" t="s">
        <v>42</v>
      </c>
      <c r="H2" s="37" t="s">
        <v>43</v>
      </c>
      <c r="I2" s="42" t="s">
        <v>37</v>
      </c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</row>
    <row r="3" spans="1:43" ht="27.6" customHeight="1" x14ac:dyDescent="0.3">
      <c r="A3" s="46"/>
      <c r="B3" s="39">
        <v>43831</v>
      </c>
      <c r="C3" s="25">
        <f>VLOOKUP(B3,Data_Table,5,FALSE)</f>
        <v>325</v>
      </c>
      <c r="D3" s="28" t="str">
        <f>_xlfn.CONCAT(VLOOKUP(B3,Data_Table,9,FALSE), " miles" )</f>
        <v>325 miles</v>
      </c>
      <c r="F3" s="44"/>
      <c r="G3" s="41">
        <f>GETPIVOTDATA("[Measures].[Sum of Miles Accumulated]",'Quarterly Calculations'!$A$3)</f>
        <v>10923</v>
      </c>
      <c r="H3" s="30">
        <f>GETPIVOTDATA("[Measures].[Sum of Cost]",'Quarterly Calculations'!$A$3)</f>
        <v>1270.9199999999998</v>
      </c>
      <c r="I3" s="43">
        <f>GETPIVOTDATA("[Measures].[Sum of Gallons]",'Quarterly Calculations'!$A$3)</f>
        <v>345.19</v>
      </c>
    </row>
    <row r="4" spans="1:43" s="24" customFormat="1" ht="28.2" customHeight="1" x14ac:dyDescent="0.3">
      <c r="A4" s="46"/>
      <c r="B4" s="27" t="s">
        <v>26</v>
      </c>
      <c r="C4" s="32" t="s">
        <v>27</v>
      </c>
      <c r="D4" s="27" t="s">
        <v>38</v>
      </c>
      <c r="F4" s="44"/>
      <c r="G4" s="36"/>
      <c r="H4" s="36"/>
      <c r="I4" s="36"/>
      <c r="J4" s="36"/>
      <c r="K4" s="36"/>
      <c r="L4" s="36"/>
      <c r="M4" s="34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</row>
    <row r="5" spans="1:43" ht="25.2" customHeight="1" x14ac:dyDescent="0.3">
      <c r="A5" s="46"/>
      <c r="B5" s="30">
        <f>VLOOKUP($B$3,Data_Table,4,FALSE)</f>
        <v>37.159999999999997</v>
      </c>
      <c r="C5" s="29">
        <f>VLOOKUP(B3,Data_Table,7,FALSE)</f>
        <v>3.3598553345388784</v>
      </c>
      <c r="D5" s="31">
        <f>VLOOKUP(B3,Data_Table,8,FALSE)</f>
        <v>29.385171790235081</v>
      </c>
      <c r="F5" s="44"/>
      <c r="G5" s="34"/>
      <c r="H5" s="34"/>
      <c r="I5" s="34"/>
    </row>
    <row r="6" spans="1:43" x14ac:dyDescent="0.3">
      <c r="A6" s="34"/>
      <c r="B6" s="35"/>
      <c r="C6" s="35"/>
      <c r="D6" s="34"/>
      <c r="F6" s="44"/>
      <c r="G6" s="34"/>
      <c r="H6" s="34"/>
      <c r="I6" s="34"/>
      <c r="AJ6" s="34"/>
      <c r="AK6" s="34"/>
      <c r="AL6" s="34"/>
      <c r="AM6" s="34"/>
      <c r="AN6" s="34"/>
      <c r="AO6" s="34"/>
      <c r="AP6" s="34"/>
      <c r="AQ6" s="34"/>
    </row>
    <row r="7" spans="1:43" ht="26.4" customHeight="1" x14ac:dyDescent="0.3">
      <c r="A7" s="47" t="s">
        <v>46</v>
      </c>
      <c r="B7" s="33" t="s">
        <v>31</v>
      </c>
      <c r="C7" s="33" t="s">
        <v>42</v>
      </c>
      <c r="D7" s="36"/>
      <c r="F7" s="44"/>
      <c r="G7" s="34"/>
      <c r="H7" s="34"/>
      <c r="I7" s="34"/>
      <c r="AJ7" s="34"/>
      <c r="AK7" s="34"/>
      <c r="AL7" s="34"/>
      <c r="AM7" s="34"/>
      <c r="AN7" s="34"/>
      <c r="AO7" s="34"/>
      <c r="AP7" s="34"/>
      <c r="AQ7" s="34"/>
    </row>
    <row r="8" spans="1:43" ht="25.2" customHeight="1" x14ac:dyDescent="0.3">
      <c r="A8" s="47"/>
      <c r="B8" s="38" t="s">
        <v>32</v>
      </c>
      <c r="C8" s="25" t="str">
        <f>_xlfn.CONCAT(VLOOKUP(B8,'Quarterly Calculations'!A4:D7,2,FALSE), " miles")</f>
        <v>3408 miles</v>
      </c>
      <c r="D8" s="36"/>
      <c r="F8" s="44"/>
      <c r="G8" s="34"/>
      <c r="H8" s="34"/>
      <c r="I8" s="34"/>
      <c r="AJ8" s="34"/>
      <c r="AK8" s="34"/>
      <c r="AL8" s="34"/>
      <c r="AM8" s="34"/>
      <c r="AN8" s="34"/>
      <c r="AO8" s="34"/>
      <c r="AP8" s="34"/>
      <c r="AQ8" s="34"/>
    </row>
    <row r="9" spans="1:43" x14ac:dyDescent="0.3">
      <c r="A9" s="47"/>
      <c r="B9" s="33" t="s">
        <v>36</v>
      </c>
      <c r="C9" s="33" t="s">
        <v>37</v>
      </c>
      <c r="D9" s="36"/>
      <c r="F9" s="44"/>
      <c r="G9" s="34"/>
      <c r="H9" s="34"/>
      <c r="I9" s="34"/>
      <c r="AJ9" s="34"/>
      <c r="AK9" s="34"/>
      <c r="AL9" s="34"/>
      <c r="AM9" s="34"/>
      <c r="AN9" s="34"/>
      <c r="AO9" s="34"/>
      <c r="AP9" s="34"/>
      <c r="AQ9" s="34"/>
    </row>
    <row r="10" spans="1:43" ht="25.8" customHeight="1" x14ac:dyDescent="0.3">
      <c r="A10" s="47"/>
      <c r="B10" s="26">
        <f>VLOOKUP(B8,'Quarterly Calculations'!A4:D7,3,FALSE)</f>
        <v>396.7</v>
      </c>
      <c r="C10" s="25">
        <f>VLOOKUP(B8,'Quarterly Calculations'!A4:D7,4,FALSE)</f>
        <v>109.13000000000001</v>
      </c>
      <c r="D10" s="36"/>
      <c r="F10" s="44"/>
      <c r="G10" s="34"/>
      <c r="H10" s="34"/>
      <c r="I10" s="34"/>
      <c r="AJ10" s="34"/>
      <c r="AK10" s="34"/>
      <c r="AL10" s="34"/>
      <c r="AM10" s="34"/>
      <c r="AN10" s="34"/>
      <c r="AO10" s="34"/>
      <c r="AP10" s="34"/>
      <c r="AQ10" s="34"/>
    </row>
    <row r="11" spans="1:43" x14ac:dyDescent="0.3">
      <c r="A11" s="47"/>
      <c r="B11" s="35"/>
      <c r="C11" s="35"/>
      <c r="D11" s="34"/>
      <c r="F11" s="44"/>
      <c r="G11" s="34"/>
      <c r="H11" s="34"/>
      <c r="I11" s="34"/>
      <c r="AJ11" s="34"/>
      <c r="AK11" s="34"/>
      <c r="AL11" s="34"/>
      <c r="AM11" s="34"/>
      <c r="AN11" s="34"/>
      <c r="AO11" s="34"/>
      <c r="AP11" s="34"/>
      <c r="AQ11" s="34"/>
    </row>
    <row r="12" spans="1:43" x14ac:dyDescent="0.3">
      <c r="A12" s="47"/>
      <c r="B12" s="34"/>
      <c r="C12" s="34"/>
      <c r="D12" s="34"/>
      <c r="F12" s="44"/>
      <c r="G12" s="34"/>
      <c r="H12" s="34"/>
      <c r="AJ12" s="34"/>
      <c r="AK12" s="34"/>
      <c r="AL12" s="34"/>
      <c r="AM12" s="34"/>
      <c r="AN12" s="34"/>
      <c r="AO12" s="34"/>
      <c r="AP12" s="34"/>
      <c r="AQ12" s="34"/>
    </row>
    <row r="13" spans="1:43" x14ac:dyDescent="0.3">
      <c r="A13" s="47"/>
      <c r="B13" s="35"/>
      <c r="C13" s="35"/>
      <c r="D13" s="34"/>
      <c r="F13" s="44"/>
      <c r="G13" s="34"/>
      <c r="H13" s="34"/>
      <c r="AJ13" s="34"/>
      <c r="AK13" s="34"/>
      <c r="AL13" s="34"/>
      <c r="AM13" s="34"/>
      <c r="AN13" s="34"/>
      <c r="AO13" s="34"/>
      <c r="AP13" s="34"/>
      <c r="AQ13" s="34"/>
    </row>
    <row r="14" spans="1:43" x14ac:dyDescent="0.3">
      <c r="A14" s="47"/>
      <c r="B14" s="35"/>
      <c r="C14" s="35"/>
      <c r="D14" s="34"/>
      <c r="F14" s="44"/>
      <c r="G14" s="34"/>
      <c r="H14" s="34"/>
      <c r="AJ14" s="34"/>
      <c r="AK14" s="34"/>
      <c r="AL14" s="34"/>
      <c r="AM14" s="34"/>
      <c r="AN14" s="34"/>
      <c r="AO14" s="34"/>
      <c r="AP14" s="34"/>
      <c r="AQ14" s="34"/>
    </row>
    <row r="15" spans="1:43" x14ac:dyDescent="0.3">
      <c r="A15" s="47"/>
      <c r="B15" s="35"/>
      <c r="C15" s="35"/>
      <c r="D15" s="34"/>
      <c r="F15" s="44"/>
      <c r="G15" s="34"/>
      <c r="H15" s="34"/>
      <c r="AJ15" s="34"/>
      <c r="AK15" s="34"/>
      <c r="AL15" s="34"/>
      <c r="AM15" s="34"/>
      <c r="AN15" s="34"/>
      <c r="AO15" s="34"/>
      <c r="AP15" s="34"/>
      <c r="AQ15" s="34"/>
    </row>
    <row r="16" spans="1:43" x14ac:dyDescent="0.3">
      <c r="A16" s="47"/>
      <c r="B16" s="35"/>
      <c r="C16" s="35"/>
      <c r="D16" s="34"/>
      <c r="F16" s="44"/>
      <c r="G16" s="34"/>
      <c r="H16" s="34"/>
      <c r="AJ16" s="34"/>
      <c r="AK16" s="34"/>
      <c r="AL16" s="34"/>
      <c r="AM16" s="34"/>
      <c r="AN16" s="34"/>
      <c r="AO16" s="34"/>
      <c r="AP16" s="34"/>
      <c r="AQ16" s="34"/>
    </row>
    <row r="17" spans="1:43" x14ac:dyDescent="0.3">
      <c r="A17" s="47"/>
      <c r="B17" s="35"/>
      <c r="C17" s="35"/>
      <c r="D17" s="34"/>
      <c r="F17" s="44"/>
      <c r="G17" s="34"/>
      <c r="H17" s="34"/>
      <c r="I17" s="34"/>
      <c r="AJ17" s="34"/>
      <c r="AK17" s="34"/>
      <c r="AL17" s="34"/>
      <c r="AM17" s="34"/>
      <c r="AN17" s="34"/>
      <c r="AO17" s="34"/>
      <c r="AP17" s="34"/>
      <c r="AQ17" s="34"/>
    </row>
    <row r="18" spans="1:43" x14ac:dyDescent="0.3">
      <c r="A18" s="47"/>
      <c r="B18" s="35"/>
      <c r="C18" s="35"/>
      <c r="D18" s="34"/>
      <c r="F18" s="44"/>
      <c r="G18" s="34"/>
      <c r="H18" s="34"/>
      <c r="I18" s="34"/>
      <c r="AJ18" s="34"/>
      <c r="AK18" s="34"/>
      <c r="AL18" s="34"/>
      <c r="AM18" s="34"/>
      <c r="AN18" s="34"/>
      <c r="AO18" s="34"/>
      <c r="AP18" s="34"/>
      <c r="AQ18" s="34"/>
    </row>
    <row r="19" spans="1:43" x14ac:dyDescent="0.3">
      <c r="A19" s="34"/>
      <c r="B19" s="34"/>
      <c r="C19" s="34"/>
      <c r="D19" s="34"/>
      <c r="G19" s="34"/>
      <c r="H19" s="34"/>
      <c r="I19" s="34"/>
      <c r="AJ19" s="34"/>
      <c r="AK19" s="34"/>
      <c r="AL19" s="34"/>
      <c r="AM19" s="34"/>
      <c r="AN19" s="34"/>
      <c r="AO19" s="34"/>
      <c r="AP19" s="34"/>
      <c r="AQ19" s="34"/>
    </row>
    <row r="20" spans="1:43" ht="30" customHeight="1" x14ac:dyDescent="0.3">
      <c r="A20" s="45" t="s">
        <v>52</v>
      </c>
      <c r="B20" s="45"/>
      <c r="C20" s="45"/>
      <c r="D20" s="45"/>
      <c r="E20" s="45"/>
      <c r="F20" s="45"/>
      <c r="G20" s="45"/>
      <c r="H20" s="45"/>
      <c r="I20" s="45"/>
      <c r="AJ20" s="34"/>
      <c r="AK20" s="34"/>
      <c r="AL20" s="34"/>
      <c r="AM20" s="34"/>
      <c r="AN20" s="34"/>
      <c r="AO20" s="34"/>
      <c r="AP20" s="34"/>
      <c r="AQ20" s="34"/>
    </row>
    <row r="21" spans="1:43" x14ac:dyDescent="0.3">
      <c r="A21" s="34"/>
      <c r="B21" s="35"/>
      <c r="C21" s="36"/>
      <c r="D21" s="34"/>
      <c r="G21" s="34"/>
      <c r="H21" s="34"/>
      <c r="I21" s="34"/>
      <c r="AJ21" s="34"/>
      <c r="AK21" s="34"/>
      <c r="AL21" s="34"/>
      <c r="AM21" s="34"/>
      <c r="AN21" s="34"/>
      <c r="AO21" s="34"/>
      <c r="AP21" s="34"/>
      <c r="AQ21" s="34"/>
    </row>
    <row r="22" spans="1:43" x14ac:dyDescent="0.3">
      <c r="A22" s="34"/>
      <c r="B22" s="35"/>
      <c r="C22" s="34"/>
      <c r="D22" s="34"/>
      <c r="G22" s="34"/>
      <c r="H22" s="34"/>
      <c r="I22" s="34"/>
      <c r="AJ22" s="34"/>
      <c r="AK22" s="34"/>
      <c r="AL22" s="34"/>
      <c r="AM22" s="34"/>
      <c r="AN22" s="34"/>
      <c r="AO22" s="34"/>
      <c r="AP22" s="34"/>
      <c r="AQ22" s="34"/>
    </row>
    <row r="23" spans="1:43" x14ac:dyDescent="0.3">
      <c r="A23" s="34"/>
      <c r="B23" s="35"/>
      <c r="C23" s="36"/>
      <c r="D23" s="34"/>
      <c r="G23" s="34"/>
      <c r="H23" s="34"/>
      <c r="I23" s="34"/>
      <c r="AJ23" s="34"/>
      <c r="AK23" s="34"/>
      <c r="AL23" s="34"/>
      <c r="AM23" s="34"/>
      <c r="AN23" s="34"/>
      <c r="AO23" s="34"/>
      <c r="AP23" s="34"/>
      <c r="AQ23" s="34"/>
    </row>
    <row r="24" spans="1:43" x14ac:dyDescent="0.3">
      <c r="A24" s="34"/>
      <c r="B24" s="35"/>
      <c r="C24" s="34"/>
      <c r="D24" s="34"/>
      <c r="G24" s="34"/>
      <c r="H24" s="34"/>
      <c r="I24" s="34"/>
      <c r="AJ24" s="34"/>
      <c r="AK24" s="34"/>
      <c r="AL24" s="34"/>
      <c r="AM24" s="34"/>
      <c r="AN24" s="34"/>
      <c r="AO24" s="34"/>
      <c r="AP24" s="34"/>
      <c r="AQ24" s="34"/>
    </row>
    <row r="25" spans="1:43" x14ac:dyDescent="0.3">
      <c r="A25" s="34"/>
      <c r="B25" s="35"/>
      <c r="C25" s="34"/>
      <c r="D25" s="34"/>
      <c r="G25" s="34"/>
      <c r="H25" s="34"/>
      <c r="I25" s="34"/>
      <c r="AJ25" s="34"/>
      <c r="AK25" s="34"/>
      <c r="AL25" s="34"/>
      <c r="AM25" s="34"/>
      <c r="AN25" s="34"/>
      <c r="AO25" s="34"/>
      <c r="AP25" s="34"/>
      <c r="AQ25" s="34"/>
    </row>
    <row r="26" spans="1:43" x14ac:dyDescent="0.3">
      <c r="A26" s="34"/>
      <c r="B26" s="34"/>
      <c r="C26" s="34"/>
      <c r="D26" s="34"/>
      <c r="G26" s="34"/>
      <c r="H26" s="34"/>
      <c r="I26" s="34"/>
      <c r="AJ26" s="34"/>
      <c r="AK26" s="34"/>
      <c r="AL26" s="34"/>
      <c r="AM26" s="34"/>
      <c r="AN26" s="34"/>
      <c r="AO26" s="34"/>
      <c r="AP26" s="34"/>
      <c r="AQ26" s="34"/>
    </row>
    <row r="27" spans="1:43" x14ac:dyDescent="0.3">
      <c r="A27" s="34"/>
      <c r="B27" s="34"/>
      <c r="C27" s="34"/>
      <c r="D27" s="34"/>
      <c r="G27" s="34"/>
      <c r="H27" s="34"/>
      <c r="I27" s="34"/>
      <c r="AJ27" s="34"/>
      <c r="AK27" s="34"/>
      <c r="AL27" s="34"/>
      <c r="AM27" s="34"/>
      <c r="AN27" s="34"/>
      <c r="AO27" s="34"/>
      <c r="AP27" s="34"/>
      <c r="AQ27" s="34"/>
    </row>
    <row r="28" spans="1:43" x14ac:dyDescent="0.3">
      <c r="A28" s="34"/>
      <c r="B28" s="34"/>
      <c r="C28" s="34"/>
      <c r="D28" s="34"/>
      <c r="G28" s="34"/>
      <c r="H28" s="34"/>
      <c r="I28" s="34"/>
      <c r="AJ28" s="34"/>
      <c r="AK28" s="34"/>
      <c r="AL28" s="34"/>
      <c r="AM28" s="34"/>
      <c r="AN28" s="34"/>
      <c r="AO28" s="34"/>
      <c r="AP28" s="34"/>
      <c r="AQ28" s="34"/>
    </row>
    <row r="29" spans="1:43" x14ac:dyDescent="0.3">
      <c r="A29" s="34"/>
      <c r="B29" s="34"/>
      <c r="C29" s="34"/>
      <c r="D29" s="34"/>
      <c r="G29" s="34"/>
      <c r="H29" s="34"/>
      <c r="I29" s="34"/>
      <c r="AJ29" s="34"/>
      <c r="AK29" s="34"/>
      <c r="AL29" s="34"/>
      <c r="AM29" s="34"/>
      <c r="AN29" s="34"/>
      <c r="AO29" s="34"/>
      <c r="AP29" s="34"/>
      <c r="AQ29" s="34"/>
    </row>
    <row r="30" spans="1:43" x14ac:dyDescent="0.3">
      <c r="A30" s="34"/>
      <c r="B30" s="34"/>
      <c r="C30" s="34"/>
      <c r="D30" s="34"/>
      <c r="G30" s="34"/>
      <c r="H30" s="34"/>
      <c r="I30" s="34"/>
      <c r="AJ30" s="34"/>
      <c r="AK30" s="34"/>
      <c r="AL30" s="34"/>
      <c r="AM30" s="34"/>
      <c r="AN30" s="34"/>
      <c r="AO30" s="34"/>
      <c r="AP30" s="34"/>
      <c r="AQ30" s="34"/>
    </row>
    <row r="31" spans="1:43" x14ac:dyDescent="0.3">
      <c r="A31" s="34"/>
      <c r="B31" s="34"/>
      <c r="C31" s="34"/>
      <c r="D31" s="34"/>
      <c r="G31" s="34"/>
      <c r="H31" s="34"/>
      <c r="I31" s="34"/>
      <c r="AJ31" s="34"/>
      <c r="AK31" s="34"/>
      <c r="AL31" s="34"/>
      <c r="AM31" s="34"/>
      <c r="AN31" s="34"/>
      <c r="AO31" s="34"/>
      <c r="AP31" s="34"/>
      <c r="AQ31" s="34"/>
    </row>
    <row r="32" spans="1:43" x14ac:dyDescent="0.3">
      <c r="A32" s="34"/>
      <c r="B32" s="34"/>
      <c r="C32" s="34"/>
      <c r="D32" s="34"/>
      <c r="G32" s="34"/>
      <c r="H32" s="34"/>
      <c r="I32" s="34"/>
      <c r="AJ32" s="34"/>
      <c r="AK32" s="34"/>
      <c r="AL32" s="34"/>
      <c r="AM32" s="34"/>
      <c r="AN32" s="34"/>
      <c r="AO32" s="34"/>
      <c r="AP32" s="34"/>
      <c r="AQ32" s="34"/>
    </row>
    <row r="33" spans="1:43" x14ac:dyDescent="0.3">
      <c r="A33" s="34"/>
      <c r="B33" s="34"/>
      <c r="C33" s="34"/>
      <c r="D33" s="34"/>
      <c r="G33" s="34"/>
      <c r="H33" s="34"/>
      <c r="I33" s="34"/>
      <c r="AJ33" s="34"/>
      <c r="AK33" s="34"/>
      <c r="AL33" s="34"/>
      <c r="AM33" s="34"/>
      <c r="AN33" s="34"/>
      <c r="AO33" s="34"/>
      <c r="AP33" s="34"/>
      <c r="AQ33" s="34"/>
    </row>
    <row r="34" spans="1:43" x14ac:dyDescent="0.3">
      <c r="A34" s="34"/>
      <c r="B34" s="34"/>
      <c r="C34" s="34"/>
      <c r="D34" s="34"/>
      <c r="G34" s="34"/>
      <c r="H34" s="34"/>
      <c r="I34" s="34"/>
      <c r="AJ34" s="34"/>
      <c r="AK34" s="34"/>
      <c r="AL34" s="34"/>
      <c r="AM34" s="34"/>
      <c r="AN34" s="34"/>
      <c r="AO34" s="34"/>
      <c r="AP34" s="34"/>
      <c r="AQ34" s="34"/>
    </row>
    <row r="35" spans="1:43" x14ac:dyDescent="0.3">
      <c r="A35" s="34"/>
      <c r="B35" s="34"/>
      <c r="C35" s="34"/>
      <c r="D35" s="34"/>
      <c r="G35" s="34"/>
      <c r="H35" s="34"/>
      <c r="I35" s="34"/>
      <c r="AJ35" s="34"/>
      <c r="AK35" s="34"/>
      <c r="AL35" s="34"/>
      <c r="AM35" s="34"/>
      <c r="AN35" s="34"/>
      <c r="AO35" s="34"/>
      <c r="AP35" s="34"/>
      <c r="AQ35" s="34"/>
    </row>
    <row r="36" spans="1:43" x14ac:dyDescent="0.3">
      <c r="A36" s="34"/>
      <c r="B36" s="34"/>
      <c r="C36" s="34"/>
      <c r="D36" s="34"/>
      <c r="G36" s="34"/>
      <c r="H36" s="34"/>
      <c r="I36" s="34"/>
      <c r="AJ36" s="34"/>
      <c r="AK36" s="34"/>
      <c r="AL36" s="34"/>
      <c r="AM36" s="34"/>
      <c r="AN36" s="34"/>
      <c r="AO36" s="34"/>
      <c r="AP36" s="34"/>
      <c r="AQ36" s="34"/>
    </row>
    <row r="37" spans="1:43" x14ac:dyDescent="0.3">
      <c r="A37" s="34"/>
      <c r="B37" s="34"/>
      <c r="C37" s="34"/>
      <c r="D37" s="34"/>
      <c r="G37" s="34"/>
      <c r="H37" s="34"/>
      <c r="I37" s="34"/>
      <c r="AJ37" s="34"/>
      <c r="AK37" s="34"/>
      <c r="AL37" s="34"/>
      <c r="AM37" s="34"/>
      <c r="AN37" s="34"/>
      <c r="AO37" s="34"/>
      <c r="AP37" s="34"/>
      <c r="AQ37" s="34"/>
    </row>
    <row r="38" spans="1:43" x14ac:dyDescent="0.3">
      <c r="A38" s="34"/>
      <c r="B38" s="34"/>
      <c r="C38" s="34"/>
      <c r="D38" s="34"/>
      <c r="G38" s="34"/>
      <c r="H38" s="34"/>
      <c r="I38" s="34"/>
      <c r="AJ38" s="34"/>
      <c r="AK38" s="34"/>
      <c r="AL38" s="34"/>
      <c r="AM38" s="34"/>
      <c r="AN38" s="34"/>
      <c r="AO38" s="34"/>
      <c r="AP38" s="34"/>
      <c r="AQ38" s="34"/>
    </row>
    <row r="39" spans="1:43" x14ac:dyDescent="0.3">
      <c r="A39" s="34"/>
      <c r="B39" s="34"/>
      <c r="C39" s="34"/>
      <c r="D39" s="34"/>
      <c r="G39" s="34"/>
      <c r="H39" s="34"/>
      <c r="I39" s="34"/>
      <c r="AJ39" s="34"/>
      <c r="AK39" s="34"/>
      <c r="AL39" s="34"/>
      <c r="AM39" s="34"/>
      <c r="AN39" s="34"/>
      <c r="AO39" s="34"/>
      <c r="AP39" s="34"/>
      <c r="AQ39" s="34"/>
    </row>
    <row r="40" spans="1:43" x14ac:dyDescent="0.3">
      <c r="A40" s="34"/>
      <c r="B40" s="35"/>
      <c r="C40" s="35"/>
      <c r="D40" s="34"/>
      <c r="G40" s="34"/>
      <c r="H40" s="34"/>
      <c r="I40" s="34"/>
      <c r="AJ40" s="34"/>
      <c r="AK40" s="34"/>
      <c r="AL40" s="34"/>
      <c r="AM40" s="34"/>
      <c r="AN40" s="34"/>
      <c r="AO40" s="34"/>
      <c r="AP40" s="34"/>
      <c r="AQ40" s="34"/>
    </row>
    <row r="41" spans="1:43" x14ac:dyDescent="0.3">
      <c r="A41" s="34"/>
      <c r="B41" s="35"/>
      <c r="C41" s="35"/>
      <c r="D41" s="34"/>
      <c r="G41" s="34"/>
      <c r="H41" s="34"/>
      <c r="I41" s="34"/>
      <c r="AJ41" s="34"/>
      <c r="AK41" s="34"/>
      <c r="AL41" s="34"/>
      <c r="AM41" s="34"/>
      <c r="AN41" s="34"/>
      <c r="AO41" s="34"/>
      <c r="AP41" s="34"/>
      <c r="AQ41" s="34"/>
    </row>
    <row r="42" spans="1:43" x14ac:dyDescent="0.3">
      <c r="A42" s="34"/>
      <c r="B42" s="35"/>
      <c r="C42" s="35"/>
      <c r="D42" s="34"/>
      <c r="G42" s="34"/>
      <c r="H42" s="34"/>
      <c r="I42" s="34"/>
      <c r="AJ42" s="34"/>
      <c r="AK42" s="34"/>
      <c r="AL42" s="34"/>
      <c r="AM42" s="34"/>
      <c r="AN42" s="34"/>
      <c r="AO42" s="34"/>
      <c r="AP42" s="34"/>
      <c r="AQ42" s="34"/>
    </row>
    <row r="43" spans="1:43" x14ac:dyDescent="0.3">
      <c r="A43" s="34"/>
      <c r="B43" s="35"/>
      <c r="C43" s="35"/>
      <c r="D43" s="34"/>
      <c r="G43" s="34"/>
      <c r="H43" s="34"/>
      <c r="I43" s="34"/>
      <c r="AJ43" s="34"/>
      <c r="AK43" s="34"/>
      <c r="AL43" s="34"/>
      <c r="AM43" s="34"/>
      <c r="AN43" s="34"/>
      <c r="AO43" s="34"/>
      <c r="AP43" s="34"/>
      <c r="AQ43" s="34"/>
    </row>
    <row r="44" spans="1:43" x14ac:dyDescent="0.3">
      <c r="A44" s="34"/>
      <c r="B44" s="35"/>
      <c r="C44" s="35"/>
      <c r="D44" s="34"/>
      <c r="G44" s="34"/>
      <c r="H44" s="34"/>
      <c r="I44" s="34"/>
      <c r="AJ44" s="34"/>
      <c r="AK44" s="34"/>
      <c r="AL44" s="34"/>
      <c r="AM44" s="34"/>
      <c r="AN44" s="34"/>
      <c r="AO44" s="34"/>
      <c r="AP44" s="34"/>
      <c r="AQ44" s="34"/>
    </row>
    <row r="45" spans="1:43" x14ac:dyDescent="0.3">
      <c r="A45" s="34"/>
      <c r="B45" s="35"/>
      <c r="C45" s="35"/>
      <c r="D45" s="34"/>
      <c r="G45" s="34"/>
      <c r="H45" s="34"/>
      <c r="I45" s="34"/>
      <c r="AJ45" s="34"/>
      <c r="AK45" s="34"/>
      <c r="AL45" s="34"/>
      <c r="AM45" s="34"/>
      <c r="AN45" s="34"/>
      <c r="AO45" s="34"/>
      <c r="AP45" s="34"/>
      <c r="AQ45" s="34"/>
    </row>
    <row r="46" spans="1:43" x14ac:dyDescent="0.3">
      <c r="A46" s="34"/>
      <c r="B46" s="35"/>
      <c r="C46" s="35"/>
      <c r="D46" s="34"/>
      <c r="G46" s="34"/>
      <c r="H46" s="34"/>
      <c r="I46" s="34"/>
      <c r="AJ46" s="34"/>
      <c r="AK46" s="34"/>
      <c r="AL46" s="34"/>
      <c r="AM46" s="34"/>
      <c r="AN46" s="34"/>
      <c r="AO46" s="34"/>
      <c r="AP46" s="34"/>
      <c r="AQ46" s="34"/>
    </row>
    <row r="47" spans="1:43" x14ac:dyDescent="0.3">
      <c r="A47" s="34"/>
      <c r="B47" s="35"/>
      <c r="C47" s="35"/>
      <c r="D47" s="34"/>
      <c r="G47" s="34"/>
      <c r="H47" s="34"/>
      <c r="I47" s="34"/>
      <c r="AJ47" s="34"/>
      <c r="AK47" s="34"/>
      <c r="AL47" s="34"/>
      <c r="AM47" s="34"/>
      <c r="AN47" s="34"/>
      <c r="AO47" s="34"/>
      <c r="AP47" s="34"/>
      <c r="AQ47" s="34"/>
    </row>
    <row r="48" spans="1:43" x14ac:dyDescent="0.3">
      <c r="A48" s="34"/>
      <c r="B48" s="35"/>
      <c r="C48" s="35"/>
      <c r="D48" s="34"/>
      <c r="G48" s="34"/>
      <c r="H48" s="34"/>
      <c r="I48" s="34"/>
      <c r="AJ48" s="34"/>
      <c r="AK48" s="34"/>
      <c r="AL48" s="34"/>
      <c r="AM48" s="34"/>
      <c r="AN48" s="34"/>
      <c r="AO48" s="34"/>
      <c r="AP48" s="34"/>
      <c r="AQ48" s="34"/>
    </row>
    <row r="49" spans="1:43" x14ac:dyDescent="0.3">
      <c r="A49" s="34"/>
      <c r="B49" s="35"/>
      <c r="C49" s="35"/>
      <c r="D49" s="34"/>
      <c r="G49" s="34"/>
      <c r="H49" s="34"/>
      <c r="I49" s="34"/>
      <c r="AJ49" s="34"/>
      <c r="AK49" s="34"/>
      <c r="AL49" s="34"/>
      <c r="AM49" s="34"/>
      <c r="AN49" s="34"/>
      <c r="AO49" s="34"/>
      <c r="AP49" s="34"/>
      <c r="AQ49" s="34"/>
    </row>
    <row r="50" spans="1:43" x14ac:dyDescent="0.3">
      <c r="A50" s="34"/>
      <c r="B50" s="35"/>
      <c r="C50" s="35"/>
      <c r="D50" s="34"/>
      <c r="G50" s="34"/>
      <c r="H50" s="34"/>
      <c r="I50" s="34"/>
      <c r="AJ50" s="34"/>
      <c r="AK50" s="34"/>
      <c r="AL50" s="34"/>
      <c r="AM50" s="34"/>
      <c r="AN50" s="34"/>
      <c r="AO50" s="34"/>
      <c r="AP50" s="34"/>
      <c r="AQ50" s="34"/>
    </row>
    <row r="51" spans="1:43" x14ac:dyDescent="0.3">
      <c r="A51" s="34"/>
      <c r="B51" s="35"/>
      <c r="C51" s="35"/>
      <c r="D51" s="34"/>
      <c r="G51" s="34"/>
      <c r="H51" s="34"/>
      <c r="I51" s="34"/>
      <c r="AJ51" s="34"/>
      <c r="AK51" s="34"/>
      <c r="AL51" s="34"/>
      <c r="AM51" s="34"/>
      <c r="AN51" s="34"/>
      <c r="AO51" s="34"/>
      <c r="AP51" s="34"/>
      <c r="AQ51" s="34"/>
    </row>
    <row r="52" spans="1:43" x14ac:dyDescent="0.3">
      <c r="A52" s="34"/>
      <c r="B52" s="35"/>
      <c r="C52" s="35"/>
      <c r="D52" s="34"/>
      <c r="G52" s="34"/>
      <c r="H52" s="34"/>
      <c r="I52" s="34"/>
      <c r="AJ52" s="34"/>
      <c r="AK52" s="34"/>
      <c r="AL52" s="34"/>
      <c r="AM52" s="34"/>
      <c r="AN52" s="34"/>
      <c r="AO52" s="34"/>
      <c r="AP52" s="34"/>
      <c r="AQ52" s="34"/>
    </row>
    <row r="53" spans="1:43" x14ac:dyDescent="0.3">
      <c r="A53" s="34"/>
      <c r="B53" s="35"/>
      <c r="C53" s="35"/>
      <c r="D53" s="34"/>
      <c r="G53" s="34"/>
      <c r="H53" s="34"/>
      <c r="I53" s="34"/>
      <c r="AJ53" s="34"/>
      <c r="AK53" s="34"/>
      <c r="AL53" s="34"/>
      <c r="AM53" s="34"/>
      <c r="AN53" s="34"/>
      <c r="AO53" s="34"/>
      <c r="AP53" s="34"/>
      <c r="AQ53" s="34"/>
    </row>
    <row r="54" spans="1:43" x14ac:dyDescent="0.3">
      <c r="A54" s="34"/>
      <c r="B54" s="35"/>
      <c r="C54" s="35"/>
      <c r="D54" s="34"/>
      <c r="G54" s="34"/>
      <c r="H54" s="34"/>
      <c r="I54" s="34"/>
      <c r="AJ54" s="34"/>
      <c r="AK54" s="34"/>
      <c r="AL54" s="34"/>
      <c r="AM54" s="34"/>
      <c r="AN54" s="34"/>
      <c r="AO54" s="34"/>
      <c r="AP54" s="34"/>
      <c r="AQ54" s="34"/>
    </row>
    <row r="55" spans="1:43" x14ac:dyDescent="0.3">
      <c r="A55" s="34"/>
      <c r="B55" s="35"/>
      <c r="C55" s="35"/>
      <c r="D55" s="34"/>
      <c r="G55" s="34"/>
      <c r="H55" s="34"/>
      <c r="I55" s="34"/>
      <c r="AJ55" s="34"/>
      <c r="AK55" s="34"/>
      <c r="AL55" s="34"/>
      <c r="AM55" s="34"/>
      <c r="AN55" s="34"/>
      <c r="AO55" s="34"/>
      <c r="AP55" s="34"/>
      <c r="AQ55" s="34"/>
    </row>
    <row r="56" spans="1:43" x14ac:dyDescent="0.3">
      <c r="A56" s="34"/>
      <c r="B56" s="35"/>
      <c r="C56" s="35"/>
      <c r="D56" s="34"/>
      <c r="G56" s="34"/>
      <c r="H56" s="34"/>
      <c r="I56" s="34"/>
      <c r="AJ56" s="34"/>
      <c r="AK56" s="34"/>
      <c r="AL56" s="34"/>
      <c r="AM56" s="34"/>
      <c r="AN56" s="34"/>
      <c r="AO56" s="34"/>
      <c r="AP56" s="34"/>
      <c r="AQ56" s="34"/>
    </row>
    <row r="57" spans="1:43" x14ac:dyDescent="0.3">
      <c r="A57" s="34"/>
      <c r="B57" s="35"/>
      <c r="C57" s="35"/>
      <c r="D57" s="34"/>
      <c r="G57" s="34"/>
      <c r="H57" s="34"/>
      <c r="I57" s="34"/>
      <c r="AJ57" s="34"/>
      <c r="AK57" s="34"/>
      <c r="AL57" s="34"/>
      <c r="AM57" s="34"/>
      <c r="AN57" s="34"/>
      <c r="AO57" s="34"/>
      <c r="AP57" s="34"/>
      <c r="AQ57" s="34"/>
    </row>
    <row r="58" spans="1:43" hidden="1" x14ac:dyDescent="0.3">
      <c r="A58" s="34"/>
      <c r="B58" s="35"/>
      <c r="C58" s="35"/>
      <c r="D58" s="34"/>
      <c r="G58" s="34"/>
      <c r="H58" s="34"/>
      <c r="I58" s="34"/>
      <c r="AJ58" s="34"/>
      <c r="AK58" s="34"/>
      <c r="AL58" s="34"/>
      <c r="AM58" s="34"/>
      <c r="AN58" s="34"/>
      <c r="AO58" s="34"/>
      <c r="AP58" s="34"/>
      <c r="AQ58" s="34"/>
    </row>
    <row r="59" spans="1:43" hidden="1" x14ac:dyDescent="0.3">
      <c r="A59" s="34"/>
      <c r="B59" s="35"/>
      <c r="C59" s="35"/>
      <c r="D59" s="34"/>
      <c r="G59" s="34"/>
      <c r="H59" s="34"/>
      <c r="I59" s="34"/>
      <c r="AJ59" s="34"/>
      <c r="AK59" s="34"/>
      <c r="AL59" s="34"/>
      <c r="AM59" s="34"/>
      <c r="AN59" s="34"/>
      <c r="AO59" s="34"/>
      <c r="AP59" s="34"/>
      <c r="AQ59" s="34"/>
    </row>
    <row r="60" spans="1:43" hidden="1" x14ac:dyDescent="0.3">
      <c r="A60" s="18" t="s">
        <v>49</v>
      </c>
      <c r="B60" t="s">
        <v>30</v>
      </c>
      <c r="C60" t="s">
        <v>50</v>
      </c>
      <c r="D60" t="s">
        <v>48</v>
      </c>
      <c r="E60"/>
      <c r="G60" s="34"/>
      <c r="H60" s="34"/>
      <c r="I60" s="34"/>
      <c r="AA60"/>
      <c r="AB60"/>
      <c r="AC60"/>
      <c r="AD60"/>
      <c r="AE60"/>
      <c r="AF60"/>
      <c r="AG60"/>
      <c r="AH60"/>
      <c r="AJ60" s="34"/>
      <c r="AK60" s="34"/>
      <c r="AL60" s="34"/>
      <c r="AM60" s="34"/>
      <c r="AN60" s="34"/>
      <c r="AO60" s="34"/>
      <c r="AP60" s="34"/>
      <c r="AQ60" s="34"/>
    </row>
    <row r="61" spans="1:43" hidden="1" x14ac:dyDescent="0.3">
      <c r="A61" s="19" t="s">
        <v>13</v>
      </c>
      <c r="B61" s="20">
        <v>44.06</v>
      </c>
      <c r="C61" s="20">
        <v>30.696380785820423</v>
      </c>
      <c r="D61" s="20">
        <v>3.4900638567038396</v>
      </c>
      <c r="E61"/>
      <c r="G61" s="34"/>
      <c r="H61" s="34"/>
      <c r="I61" s="34"/>
      <c r="AA61"/>
      <c r="AB61"/>
      <c r="AC61"/>
      <c r="AD61"/>
      <c r="AE61"/>
      <c r="AF61"/>
      <c r="AG61"/>
      <c r="AH61"/>
      <c r="AJ61" s="34"/>
      <c r="AK61" s="34"/>
      <c r="AL61" s="34"/>
      <c r="AM61" s="34"/>
      <c r="AN61" s="34"/>
      <c r="AO61" s="34"/>
      <c r="AP61" s="34"/>
      <c r="AQ61" s="34"/>
    </row>
    <row r="62" spans="1:43" hidden="1" x14ac:dyDescent="0.3">
      <c r="A62" s="19" t="s">
        <v>14</v>
      </c>
      <c r="B62" s="20">
        <v>22.53</v>
      </c>
      <c r="C62" s="20">
        <v>30.054888764549659</v>
      </c>
      <c r="D62" s="20">
        <v>3.5504338300773091</v>
      </c>
      <c r="E62"/>
      <c r="G62" s="34"/>
      <c r="H62" s="34"/>
      <c r="I62" s="34"/>
      <c r="AA62"/>
      <c r="AB62"/>
      <c r="AC62"/>
      <c r="AD62"/>
      <c r="AE62"/>
      <c r="AF62"/>
      <c r="AG62"/>
      <c r="AH62"/>
      <c r="AJ62" s="34"/>
      <c r="AK62" s="34"/>
      <c r="AL62" s="34"/>
      <c r="AM62" s="34"/>
      <c r="AN62" s="34"/>
      <c r="AO62" s="34"/>
      <c r="AP62" s="34"/>
      <c r="AQ62" s="34"/>
    </row>
    <row r="63" spans="1:43" hidden="1" x14ac:dyDescent="0.3">
      <c r="A63" s="19" t="s">
        <v>15</v>
      </c>
      <c r="B63" s="20">
        <v>42.539999999999992</v>
      </c>
      <c r="C63" s="20">
        <v>32.396786342777418</v>
      </c>
      <c r="D63" s="20">
        <v>3.829560764212026</v>
      </c>
      <c r="E63"/>
      <c r="G63" s="34"/>
      <c r="H63" s="34"/>
      <c r="I63" s="34"/>
      <c r="AA63"/>
      <c r="AB63"/>
      <c r="AC63"/>
      <c r="AD63"/>
      <c r="AE63"/>
      <c r="AF63"/>
      <c r="AG63"/>
      <c r="AH63"/>
      <c r="AJ63" s="34"/>
      <c r="AK63" s="34"/>
      <c r="AL63" s="34"/>
      <c r="AM63" s="34"/>
      <c r="AN63" s="34"/>
      <c r="AO63" s="34"/>
      <c r="AP63" s="34"/>
      <c r="AQ63" s="34"/>
    </row>
    <row r="64" spans="1:43" hidden="1" x14ac:dyDescent="0.3">
      <c r="A64" s="19" t="s">
        <v>16</v>
      </c>
      <c r="B64" s="20">
        <v>22.1</v>
      </c>
      <c r="C64" s="20">
        <v>30.635622964072667</v>
      </c>
      <c r="D64" s="20">
        <v>3.9740376007162039</v>
      </c>
      <c r="E64"/>
      <c r="G64" s="34"/>
      <c r="H64" s="34"/>
      <c r="I64" s="34"/>
      <c r="AA64"/>
      <c r="AB64"/>
      <c r="AC64"/>
      <c r="AD64"/>
      <c r="AE64"/>
      <c r="AF64"/>
      <c r="AG64"/>
      <c r="AH64"/>
      <c r="AJ64" s="34"/>
      <c r="AK64" s="34"/>
      <c r="AL64" s="34"/>
      <c r="AM64" s="34"/>
      <c r="AN64" s="34"/>
      <c r="AO64" s="34"/>
      <c r="AP64" s="34"/>
      <c r="AQ64" s="34"/>
    </row>
    <row r="65" spans="1:43" hidden="1" x14ac:dyDescent="0.3">
      <c r="A65" s="19" t="s">
        <v>17</v>
      </c>
      <c r="B65" s="20">
        <v>22.14</v>
      </c>
      <c r="C65" s="20">
        <v>32.385128385921618</v>
      </c>
      <c r="D65" s="20">
        <v>3.8305203008402371</v>
      </c>
      <c r="E65"/>
      <c r="G65" s="34"/>
      <c r="H65" s="34"/>
      <c r="I65" s="34"/>
      <c r="AA65"/>
      <c r="AB65"/>
      <c r="AC65"/>
      <c r="AD65"/>
      <c r="AE65"/>
      <c r="AF65"/>
      <c r="AG65"/>
      <c r="AH65"/>
      <c r="AJ65" s="34"/>
      <c r="AK65" s="34"/>
      <c r="AL65" s="34"/>
      <c r="AM65" s="34"/>
      <c r="AN65" s="34"/>
      <c r="AO65" s="34"/>
      <c r="AP65" s="34"/>
      <c r="AQ65" s="34"/>
    </row>
    <row r="66" spans="1:43" hidden="1" x14ac:dyDescent="0.3">
      <c r="A66" s="19" t="s">
        <v>18</v>
      </c>
      <c r="B66" s="20">
        <v>22.5</v>
      </c>
      <c r="C66" s="20">
        <v>32.189426268373637</v>
      </c>
      <c r="D66" s="20">
        <v>3.581484115694642</v>
      </c>
      <c r="E66"/>
      <c r="G66" s="34"/>
      <c r="H66" s="34"/>
      <c r="I66" s="34"/>
      <c r="AA66"/>
      <c r="AB66"/>
      <c r="AC66"/>
      <c r="AD66"/>
      <c r="AE66"/>
      <c r="AF66"/>
      <c r="AG66"/>
      <c r="AH66"/>
      <c r="AJ66" s="34"/>
      <c r="AK66" s="34"/>
      <c r="AL66" s="34"/>
      <c r="AM66" s="34"/>
      <c r="AN66" s="34"/>
      <c r="AO66" s="34"/>
      <c r="AP66" s="34"/>
      <c r="AQ66" s="34"/>
    </row>
    <row r="67" spans="1:43" hidden="1" x14ac:dyDescent="0.3">
      <c r="A67" s="19" t="s">
        <v>19</v>
      </c>
      <c r="B67" s="20">
        <v>34.29</v>
      </c>
      <c r="C67" s="20">
        <v>31.908909681656908</v>
      </c>
      <c r="D67" s="20">
        <v>3.4724862678313104</v>
      </c>
      <c r="E67"/>
      <c r="G67" s="34"/>
      <c r="H67" s="34"/>
      <c r="I67" s="34"/>
      <c r="AA67"/>
      <c r="AB67"/>
      <c r="AC67"/>
      <c r="AD67"/>
      <c r="AE67"/>
      <c r="AF67"/>
      <c r="AG67"/>
      <c r="AH67"/>
      <c r="AJ67" s="34"/>
      <c r="AK67" s="34"/>
      <c r="AL67" s="34"/>
      <c r="AM67" s="34"/>
      <c r="AN67" s="34"/>
      <c r="AO67" s="34"/>
      <c r="AP67" s="34"/>
      <c r="AQ67" s="34"/>
    </row>
    <row r="68" spans="1:43" hidden="1" x14ac:dyDescent="0.3">
      <c r="A68" s="19" t="s">
        <v>20</v>
      </c>
      <c r="B68" s="20">
        <v>22.740000000000002</v>
      </c>
      <c r="C68" s="20">
        <v>33.423870963745721</v>
      </c>
      <c r="D68" s="20">
        <v>3.7000473851452216</v>
      </c>
      <c r="E68"/>
      <c r="G68" s="34"/>
      <c r="H68" s="34"/>
      <c r="I68" s="34"/>
      <c r="AA68"/>
      <c r="AB68"/>
      <c r="AC68"/>
      <c r="AD68"/>
      <c r="AE68"/>
      <c r="AF68"/>
      <c r="AG68"/>
      <c r="AH68"/>
      <c r="AJ68" s="34"/>
      <c r="AK68" s="34"/>
      <c r="AL68" s="34"/>
      <c r="AM68" s="34"/>
      <c r="AN68" s="34"/>
      <c r="AO68" s="34"/>
      <c r="AP68" s="34"/>
      <c r="AQ68" s="34"/>
    </row>
    <row r="69" spans="1:43" hidden="1" x14ac:dyDescent="0.3">
      <c r="A69" s="19" t="s">
        <v>21</v>
      </c>
      <c r="B69" s="20">
        <v>33.44</v>
      </c>
      <c r="C69" s="20">
        <v>32.840617633560335</v>
      </c>
      <c r="D69" s="20">
        <v>3.8871309326704142</v>
      </c>
      <c r="E69"/>
      <c r="G69" s="34"/>
      <c r="H69" s="34"/>
      <c r="I69" s="34"/>
      <c r="AA69"/>
      <c r="AB69"/>
      <c r="AC69"/>
      <c r="AD69"/>
      <c r="AE69"/>
      <c r="AF69"/>
      <c r="AG69"/>
      <c r="AH69"/>
      <c r="AJ69" s="34"/>
      <c r="AK69" s="34"/>
      <c r="AL69" s="34"/>
      <c r="AM69" s="34"/>
      <c r="AN69" s="34"/>
      <c r="AO69" s="34"/>
      <c r="AP69" s="34"/>
      <c r="AQ69" s="34"/>
    </row>
    <row r="70" spans="1:43" hidden="1" x14ac:dyDescent="0.3">
      <c r="A70" s="19" t="s">
        <v>22</v>
      </c>
      <c r="B70" s="20">
        <v>34.14</v>
      </c>
      <c r="C70" s="20">
        <v>31.94565005965659</v>
      </c>
      <c r="D70" s="20">
        <v>3.7729498634621308</v>
      </c>
      <c r="E70"/>
      <c r="G70" s="34"/>
      <c r="H70" s="34"/>
      <c r="I70" s="34"/>
      <c r="AA70"/>
      <c r="AB70"/>
      <c r="AC70"/>
      <c r="AD70"/>
      <c r="AE70"/>
      <c r="AF70"/>
      <c r="AG70"/>
      <c r="AH70"/>
      <c r="AJ70" s="34"/>
      <c r="AK70" s="34"/>
      <c r="AL70" s="34"/>
      <c r="AM70" s="34"/>
      <c r="AN70" s="34"/>
      <c r="AO70" s="34"/>
      <c r="AP70" s="34"/>
      <c r="AQ70" s="34"/>
    </row>
    <row r="71" spans="1:43" hidden="1" x14ac:dyDescent="0.3">
      <c r="A71" s="19" t="s">
        <v>23</v>
      </c>
      <c r="B71" s="20">
        <v>22.759999999999998</v>
      </c>
      <c r="C71" s="20">
        <v>30.332177556923533</v>
      </c>
      <c r="D71" s="20">
        <v>3.6599328784395166</v>
      </c>
      <c r="E71"/>
      <c r="G71" s="34"/>
      <c r="H71" s="34"/>
      <c r="I71" s="34"/>
      <c r="AA71"/>
      <c r="AB71"/>
      <c r="AC71"/>
      <c r="AD71"/>
      <c r="AE71"/>
      <c r="AF71"/>
      <c r="AG71"/>
      <c r="AH71"/>
      <c r="AJ71" s="34"/>
      <c r="AK71" s="34"/>
      <c r="AL71" s="34"/>
      <c r="AM71" s="34"/>
      <c r="AN71" s="34"/>
      <c r="AO71" s="34"/>
      <c r="AP71" s="34"/>
      <c r="AQ71" s="34"/>
    </row>
    <row r="72" spans="1:43" hidden="1" x14ac:dyDescent="0.3">
      <c r="A72" s="19" t="s">
        <v>24</v>
      </c>
      <c r="B72" s="20">
        <v>21.950000000000003</v>
      </c>
      <c r="C72" s="20">
        <v>30.287711904512825</v>
      </c>
      <c r="D72" s="20">
        <v>3.4492583238267933</v>
      </c>
      <c r="E72"/>
      <c r="G72" s="34"/>
      <c r="H72" s="34"/>
      <c r="I72" s="34"/>
      <c r="AA72"/>
      <c r="AB72"/>
      <c r="AC72"/>
      <c r="AD72"/>
      <c r="AE72"/>
      <c r="AF72"/>
      <c r="AG72"/>
      <c r="AH72"/>
      <c r="AJ72" s="34"/>
      <c r="AK72" s="34"/>
      <c r="AL72" s="34"/>
      <c r="AM72" s="34"/>
      <c r="AN72" s="34"/>
      <c r="AO72" s="34"/>
      <c r="AP72" s="34"/>
      <c r="AQ72" s="34"/>
    </row>
    <row r="73" spans="1:43" hidden="1" x14ac:dyDescent="0.3">
      <c r="A73" s="19" t="s">
        <v>11</v>
      </c>
      <c r="B73" s="20">
        <v>345.19</v>
      </c>
      <c r="C73" s="20">
        <v>31.647608201781036</v>
      </c>
      <c r="D73" s="20">
        <v>3.6828267272591884</v>
      </c>
      <c r="E73"/>
      <c r="G73" s="34"/>
      <c r="H73" s="34"/>
      <c r="I73" s="34"/>
      <c r="AA73"/>
      <c r="AB73"/>
      <c r="AC73"/>
      <c r="AD73"/>
      <c r="AE73"/>
      <c r="AF73"/>
      <c r="AG73"/>
      <c r="AH73"/>
      <c r="AJ73" s="34"/>
      <c r="AK73" s="34"/>
      <c r="AL73" s="34"/>
      <c r="AM73" s="34"/>
      <c r="AN73" s="34"/>
      <c r="AO73" s="34"/>
      <c r="AP73" s="34"/>
      <c r="AQ73" s="34"/>
    </row>
    <row r="74" spans="1:43" hidden="1" x14ac:dyDescent="0.3">
      <c r="B74"/>
      <c r="C74"/>
      <c r="D74" s="34"/>
      <c r="G74" s="34"/>
      <c r="H74" s="34"/>
      <c r="I74" s="34"/>
      <c r="AA74"/>
      <c r="AB74"/>
      <c r="AC74"/>
      <c r="AD74"/>
      <c r="AE74"/>
      <c r="AF74"/>
      <c r="AG74"/>
      <c r="AH74"/>
      <c r="AJ74" s="34"/>
      <c r="AK74" s="34"/>
      <c r="AL74" s="34"/>
      <c r="AM74" s="34"/>
      <c r="AN74" s="34"/>
      <c r="AO74" s="34"/>
      <c r="AP74" s="34"/>
      <c r="AQ74" s="34"/>
    </row>
    <row r="75" spans="1:43" hidden="1" x14ac:dyDescent="0.3">
      <c r="B75"/>
      <c r="C75"/>
      <c r="D75" s="34"/>
      <c r="G75" s="34"/>
      <c r="H75" s="34"/>
      <c r="I75" s="34"/>
      <c r="AA75"/>
      <c r="AB75"/>
      <c r="AC75"/>
      <c r="AD75"/>
      <c r="AE75"/>
      <c r="AF75"/>
      <c r="AG75"/>
      <c r="AH75"/>
      <c r="AJ75" s="34"/>
      <c r="AK75" s="34"/>
      <c r="AL75" s="34"/>
      <c r="AM75" s="34"/>
      <c r="AN75" s="34"/>
      <c r="AO75" s="34"/>
      <c r="AP75" s="34"/>
      <c r="AQ75" s="34"/>
    </row>
    <row r="76" spans="1:43" hidden="1" x14ac:dyDescent="0.3">
      <c r="A76" s="18" t="s">
        <v>10</v>
      </c>
      <c r="B76" t="s">
        <v>25</v>
      </c>
      <c r="C76" t="s">
        <v>29</v>
      </c>
      <c r="D76" s="34"/>
      <c r="G76" s="34"/>
      <c r="H76" s="34"/>
      <c r="I76" s="34"/>
      <c r="AA76"/>
      <c r="AB76"/>
      <c r="AC76"/>
      <c r="AD76"/>
      <c r="AE76"/>
      <c r="AF76"/>
      <c r="AG76"/>
      <c r="AH76"/>
      <c r="AJ76" s="34"/>
      <c r="AK76" s="34"/>
      <c r="AL76" s="34"/>
      <c r="AM76" s="34"/>
      <c r="AN76" s="34"/>
      <c r="AO76" s="34"/>
      <c r="AP76" s="34"/>
      <c r="AQ76" s="34"/>
    </row>
    <row r="77" spans="1:43" hidden="1" x14ac:dyDescent="0.3">
      <c r="A77" s="19" t="s">
        <v>13</v>
      </c>
      <c r="B77" s="20">
        <v>1353</v>
      </c>
      <c r="C77" s="20">
        <v>153.72999999999999</v>
      </c>
      <c r="D77" s="34"/>
      <c r="G77" s="34"/>
      <c r="H77" s="34"/>
      <c r="I77" s="34"/>
      <c r="AA77"/>
      <c r="AB77"/>
      <c r="AC77"/>
      <c r="AD77"/>
      <c r="AE77"/>
      <c r="AF77"/>
      <c r="AG77"/>
      <c r="AH77"/>
      <c r="AJ77" s="34"/>
      <c r="AK77" s="34"/>
      <c r="AL77" s="34"/>
      <c r="AM77" s="34"/>
      <c r="AN77" s="34"/>
      <c r="AO77" s="34"/>
      <c r="AP77" s="34"/>
      <c r="AQ77" s="34"/>
    </row>
    <row r="78" spans="1:43" hidden="1" x14ac:dyDescent="0.3">
      <c r="A78" s="19" t="s">
        <v>14</v>
      </c>
      <c r="B78" s="20">
        <v>677</v>
      </c>
      <c r="C78" s="20">
        <v>80</v>
      </c>
      <c r="D78" s="34"/>
      <c r="G78" s="34"/>
      <c r="H78" s="34"/>
      <c r="I78" s="34"/>
      <c r="AA78"/>
      <c r="AB78"/>
      <c r="AC78"/>
      <c r="AD78"/>
      <c r="AE78"/>
      <c r="AF78"/>
      <c r="AG78"/>
      <c r="AH78"/>
      <c r="AJ78" s="34"/>
      <c r="AK78" s="34"/>
      <c r="AL78" s="34"/>
      <c r="AM78" s="34"/>
      <c r="AN78" s="34"/>
      <c r="AO78" s="34"/>
      <c r="AP78" s="34"/>
      <c r="AQ78" s="34"/>
    </row>
    <row r="79" spans="1:43" hidden="1" x14ac:dyDescent="0.3">
      <c r="A79" s="19" t="s">
        <v>15</v>
      </c>
      <c r="B79" s="20">
        <v>1378</v>
      </c>
      <c r="C79" s="20">
        <v>162.97000000000003</v>
      </c>
      <c r="D79" s="34"/>
      <c r="G79" s="34"/>
      <c r="H79" s="34"/>
      <c r="I79" s="34"/>
      <c r="AA79"/>
      <c r="AB79"/>
      <c r="AC79"/>
      <c r="AD79"/>
      <c r="AE79"/>
      <c r="AF79"/>
      <c r="AG79"/>
      <c r="AH79"/>
      <c r="AJ79" s="34"/>
      <c r="AK79" s="34"/>
      <c r="AL79" s="34"/>
      <c r="AM79" s="34"/>
      <c r="AN79" s="34"/>
      <c r="AO79" s="34"/>
      <c r="AP79" s="34"/>
      <c r="AQ79" s="34"/>
    </row>
    <row r="80" spans="1:43" hidden="1" x14ac:dyDescent="0.3">
      <c r="A80" s="19" t="s">
        <v>16</v>
      </c>
      <c r="B80" s="20">
        <v>677</v>
      </c>
      <c r="C80" s="20">
        <v>87.82</v>
      </c>
      <c r="D80" s="34"/>
      <c r="G80" s="34"/>
      <c r="H80" s="34"/>
      <c r="I80" s="34"/>
      <c r="AA80"/>
      <c r="AB80"/>
      <c r="AC80"/>
      <c r="AD80"/>
      <c r="AE80"/>
      <c r="AF80"/>
      <c r="AG80"/>
      <c r="AH80"/>
      <c r="AJ80" s="34"/>
      <c r="AK80" s="34"/>
      <c r="AL80" s="34"/>
      <c r="AM80" s="34"/>
      <c r="AN80" s="34"/>
      <c r="AO80" s="34"/>
      <c r="AP80" s="34"/>
      <c r="AQ80" s="34"/>
    </row>
    <row r="81" spans="1:43" hidden="1" x14ac:dyDescent="0.3">
      <c r="A81" s="19" t="s">
        <v>17</v>
      </c>
      <c r="B81" s="20">
        <v>717</v>
      </c>
      <c r="C81" s="20">
        <v>84.82</v>
      </c>
      <c r="D81" s="34"/>
      <c r="G81" s="34"/>
      <c r="H81" s="34"/>
      <c r="I81" s="34"/>
      <c r="AA81"/>
      <c r="AB81"/>
      <c r="AC81"/>
      <c r="AD81"/>
      <c r="AE81"/>
      <c r="AF81"/>
      <c r="AG81"/>
      <c r="AH81"/>
      <c r="AJ81" s="34"/>
      <c r="AK81" s="34"/>
      <c r="AL81" s="34"/>
      <c r="AM81" s="34"/>
      <c r="AN81" s="34"/>
      <c r="AO81" s="34"/>
      <c r="AP81" s="34"/>
      <c r="AQ81" s="34"/>
    </row>
    <row r="82" spans="1:43" hidden="1" x14ac:dyDescent="0.3">
      <c r="A82" s="19" t="s">
        <v>18</v>
      </c>
      <c r="B82" s="20">
        <v>724</v>
      </c>
      <c r="C82" s="20">
        <v>80.59</v>
      </c>
      <c r="D82" s="34"/>
      <c r="G82" s="34"/>
      <c r="H82" s="34"/>
      <c r="I82" s="34"/>
      <c r="AA82"/>
      <c r="AB82"/>
      <c r="AC82"/>
      <c r="AD82"/>
      <c r="AE82"/>
      <c r="AF82"/>
      <c r="AG82"/>
      <c r="AH82"/>
      <c r="AJ82" s="34"/>
      <c r="AK82" s="34"/>
      <c r="AL82" s="34"/>
      <c r="AM82" s="34"/>
      <c r="AN82" s="34"/>
      <c r="AO82" s="34"/>
      <c r="AP82" s="34"/>
      <c r="AQ82" s="34"/>
    </row>
    <row r="83" spans="1:43" hidden="1" x14ac:dyDescent="0.3">
      <c r="A83" s="19" t="s">
        <v>19</v>
      </c>
      <c r="B83" s="20">
        <v>1094</v>
      </c>
      <c r="C83" s="20">
        <v>119.03</v>
      </c>
      <c r="D83" s="34"/>
      <c r="G83" s="34"/>
      <c r="H83" s="34"/>
      <c r="I83" s="34"/>
      <c r="AA83"/>
      <c r="AB83"/>
      <c r="AC83"/>
      <c r="AD83"/>
      <c r="AE83"/>
      <c r="AF83"/>
      <c r="AG83"/>
      <c r="AH83"/>
      <c r="AJ83" s="34"/>
      <c r="AK83" s="34"/>
      <c r="AL83" s="34"/>
      <c r="AM83" s="34"/>
      <c r="AN83" s="34"/>
      <c r="AO83" s="34"/>
      <c r="AP83" s="34"/>
      <c r="AQ83" s="34"/>
    </row>
    <row r="84" spans="1:43" hidden="1" x14ac:dyDescent="0.3">
      <c r="A84" s="19" t="s">
        <v>20</v>
      </c>
      <c r="B84" s="20">
        <v>759</v>
      </c>
      <c r="C84" s="20">
        <v>84.14</v>
      </c>
      <c r="D84" s="34"/>
      <c r="G84" s="34"/>
      <c r="H84" s="34"/>
      <c r="I84" s="34"/>
      <c r="AA84"/>
      <c r="AB84"/>
      <c r="AC84"/>
      <c r="AD84"/>
      <c r="AE84"/>
      <c r="AF84"/>
      <c r="AG84"/>
      <c r="AH84"/>
      <c r="AJ84" s="34"/>
      <c r="AK84" s="34"/>
      <c r="AL84" s="34"/>
      <c r="AM84" s="34"/>
      <c r="AN84" s="34"/>
      <c r="AO84" s="34"/>
      <c r="AP84" s="34"/>
      <c r="AQ84" s="34"/>
    </row>
    <row r="85" spans="1:43" hidden="1" x14ac:dyDescent="0.3">
      <c r="A85" s="19" t="s">
        <v>21</v>
      </c>
      <c r="B85" s="20">
        <v>1098</v>
      </c>
      <c r="C85" s="20">
        <v>130</v>
      </c>
      <c r="D85" s="34"/>
      <c r="G85" s="34"/>
      <c r="H85" s="34"/>
      <c r="I85" s="34"/>
      <c r="AA85"/>
      <c r="AB85"/>
      <c r="AC85"/>
      <c r="AD85"/>
      <c r="AE85"/>
      <c r="AF85"/>
      <c r="AG85"/>
      <c r="AH85"/>
      <c r="AJ85" s="34"/>
      <c r="AK85" s="34"/>
      <c r="AL85" s="34"/>
      <c r="AM85" s="34"/>
      <c r="AN85" s="34"/>
      <c r="AO85" s="34"/>
      <c r="AP85" s="34"/>
      <c r="AQ85" s="34"/>
    </row>
    <row r="86" spans="1:43" hidden="1" x14ac:dyDescent="0.3">
      <c r="A86" s="19" t="s">
        <v>22</v>
      </c>
      <c r="B86" s="20">
        <v>1091</v>
      </c>
      <c r="C86" s="20">
        <v>128.80000000000001</v>
      </c>
      <c r="D86" s="34"/>
      <c r="G86" s="34"/>
      <c r="H86" s="34"/>
      <c r="I86" s="34"/>
      <c r="AA86"/>
      <c r="AB86"/>
      <c r="AC86"/>
      <c r="AD86"/>
      <c r="AE86"/>
      <c r="AF86"/>
      <c r="AG86"/>
      <c r="AH86"/>
      <c r="AJ86" s="34"/>
      <c r="AK86" s="34"/>
      <c r="AL86" s="34"/>
      <c r="AM86" s="34"/>
      <c r="AN86" s="34"/>
      <c r="AO86" s="34"/>
      <c r="AP86" s="34"/>
      <c r="AQ86" s="34"/>
    </row>
    <row r="87" spans="1:43" hidden="1" x14ac:dyDescent="0.3">
      <c r="A87" s="19" t="s">
        <v>23</v>
      </c>
      <c r="B87" s="20">
        <v>690</v>
      </c>
      <c r="C87" s="20">
        <v>83.300000000000011</v>
      </c>
      <c r="D87" s="34"/>
      <c r="G87" s="34"/>
      <c r="H87" s="34"/>
      <c r="I87" s="34"/>
      <c r="AA87"/>
      <c r="AB87"/>
      <c r="AC87"/>
      <c r="AD87"/>
      <c r="AE87"/>
      <c r="AF87"/>
      <c r="AG87"/>
      <c r="AH87"/>
      <c r="AJ87" s="34"/>
      <c r="AK87" s="34"/>
      <c r="AL87" s="34"/>
      <c r="AM87" s="34"/>
      <c r="AN87" s="34"/>
      <c r="AO87" s="34"/>
      <c r="AP87" s="34"/>
      <c r="AQ87" s="34"/>
    </row>
    <row r="88" spans="1:43" hidden="1" x14ac:dyDescent="0.3">
      <c r="A88" s="19" t="s">
        <v>24</v>
      </c>
      <c r="B88" s="20">
        <v>665</v>
      </c>
      <c r="C88" s="20">
        <v>75.72</v>
      </c>
      <c r="D88" s="34"/>
      <c r="G88" s="34"/>
      <c r="H88" s="34"/>
      <c r="I88" s="34"/>
      <c r="AA88"/>
      <c r="AB88"/>
      <c r="AC88"/>
      <c r="AD88"/>
      <c r="AE88"/>
      <c r="AF88"/>
      <c r="AG88"/>
      <c r="AH88"/>
      <c r="AJ88" s="34"/>
      <c r="AK88" s="34"/>
      <c r="AL88" s="34"/>
      <c r="AM88" s="34"/>
      <c r="AN88" s="34"/>
      <c r="AO88" s="34"/>
      <c r="AP88" s="34"/>
      <c r="AQ88" s="34"/>
    </row>
    <row r="89" spans="1:43" hidden="1" x14ac:dyDescent="0.3">
      <c r="A89" s="19" t="s">
        <v>11</v>
      </c>
      <c r="B89" s="20">
        <v>10923</v>
      </c>
      <c r="C89" s="20">
        <v>1270.9199999999998</v>
      </c>
      <c r="D89" s="34"/>
      <c r="G89" s="34"/>
      <c r="H89" s="34"/>
      <c r="I89" s="34"/>
      <c r="AA89"/>
      <c r="AB89"/>
      <c r="AC89"/>
      <c r="AD89"/>
      <c r="AE89"/>
      <c r="AF89"/>
      <c r="AG89"/>
      <c r="AH89"/>
      <c r="AJ89" s="34"/>
      <c r="AK89" s="34"/>
      <c r="AL89" s="34"/>
      <c r="AM89" s="34"/>
      <c r="AN89" s="34"/>
      <c r="AO89" s="34"/>
      <c r="AP89" s="34"/>
      <c r="AQ89" s="34"/>
    </row>
    <row r="90" spans="1:43" hidden="1" x14ac:dyDescent="0.3">
      <c r="A90" s="34"/>
      <c r="B90" s="34"/>
      <c r="C90" s="34"/>
      <c r="D90" s="34"/>
      <c r="G90" s="34"/>
      <c r="H90" s="34"/>
      <c r="I90" s="34"/>
      <c r="AA90"/>
      <c r="AB90"/>
      <c r="AC90"/>
      <c r="AD90"/>
      <c r="AE90"/>
      <c r="AF90"/>
      <c r="AG90"/>
      <c r="AH90"/>
      <c r="AJ90" s="34"/>
      <c r="AK90" s="34"/>
      <c r="AL90" s="34"/>
      <c r="AM90" s="34"/>
      <c r="AN90" s="34"/>
      <c r="AO90" s="34"/>
      <c r="AP90" s="34"/>
      <c r="AQ90" s="34"/>
    </row>
    <row r="91" spans="1:43" x14ac:dyDescent="0.3">
      <c r="A91" s="34"/>
      <c r="B91" s="34"/>
      <c r="C91" s="34"/>
      <c r="D91" s="34"/>
      <c r="G91" s="34"/>
      <c r="H91" s="34"/>
      <c r="I91" s="34"/>
      <c r="AA91"/>
      <c r="AB91"/>
      <c r="AC91"/>
      <c r="AD91"/>
      <c r="AE91"/>
      <c r="AF91"/>
      <c r="AG91"/>
      <c r="AH91"/>
      <c r="AJ91" s="34"/>
      <c r="AK91" s="34"/>
      <c r="AL91" s="34"/>
      <c r="AM91" s="34"/>
      <c r="AN91" s="34"/>
      <c r="AO91" s="34"/>
      <c r="AP91" s="34"/>
      <c r="AQ91" s="34"/>
    </row>
    <row r="92" spans="1:43" x14ac:dyDescent="0.3">
      <c r="A92" s="34"/>
      <c r="B92" s="34"/>
      <c r="C92" s="34"/>
      <c r="D92" s="34"/>
      <c r="G92" s="34"/>
      <c r="H92" s="34"/>
      <c r="I92" s="34"/>
      <c r="AJ92" s="34"/>
      <c r="AK92" s="34"/>
      <c r="AL92" s="34"/>
      <c r="AM92" s="34"/>
      <c r="AN92" s="34"/>
      <c r="AO92" s="34"/>
      <c r="AP92" s="34"/>
      <c r="AQ92" s="34"/>
    </row>
    <row r="93" spans="1:43" x14ac:dyDescent="0.3">
      <c r="A93" s="34"/>
      <c r="B93" s="34"/>
      <c r="C93" s="34"/>
      <c r="D93" s="34"/>
      <c r="G93" s="34"/>
      <c r="H93" s="34"/>
      <c r="I93" s="34"/>
      <c r="AJ93" s="34"/>
      <c r="AK93" s="34"/>
      <c r="AL93" s="34"/>
      <c r="AM93" s="34"/>
      <c r="AN93" s="34"/>
      <c r="AO93" s="34"/>
      <c r="AP93" s="34"/>
      <c r="AQ93" s="34"/>
    </row>
    <row r="94" spans="1:43" x14ac:dyDescent="0.3">
      <c r="A94" s="34"/>
      <c r="B94" s="35"/>
      <c r="C94" s="35"/>
      <c r="D94" s="34"/>
      <c r="G94" s="34"/>
      <c r="H94" s="34"/>
      <c r="I94" s="34"/>
      <c r="AJ94" s="34"/>
      <c r="AK94" s="34"/>
      <c r="AL94" s="34"/>
      <c r="AM94" s="34"/>
      <c r="AN94" s="34"/>
      <c r="AO94" s="34"/>
      <c r="AP94" s="34"/>
      <c r="AQ94" s="34"/>
    </row>
    <row r="95" spans="1:43" x14ac:dyDescent="0.3">
      <c r="A95" s="34"/>
      <c r="B95" s="35"/>
      <c r="C95" s="35"/>
      <c r="D95" s="34"/>
      <c r="G95" s="34"/>
      <c r="H95" s="34"/>
      <c r="I95" s="34"/>
      <c r="AJ95" s="34"/>
      <c r="AK95" s="34"/>
      <c r="AL95" s="34"/>
      <c r="AM95" s="34"/>
      <c r="AN95" s="34"/>
      <c r="AO95" s="34"/>
      <c r="AP95" s="34"/>
      <c r="AQ95" s="34"/>
    </row>
    <row r="96" spans="1:43" x14ac:dyDescent="0.3">
      <c r="A96" s="34"/>
      <c r="B96" s="35"/>
      <c r="C96" s="35"/>
      <c r="D96" s="34"/>
      <c r="G96" s="34"/>
      <c r="H96" s="34"/>
      <c r="I96" s="34"/>
      <c r="AJ96" s="34"/>
      <c r="AK96" s="34"/>
      <c r="AL96" s="34"/>
      <c r="AM96" s="34"/>
      <c r="AN96" s="34"/>
      <c r="AO96" s="34"/>
      <c r="AP96" s="34"/>
      <c r="AQ96" s="34"/>
    </row>
    <row r="97" spans="1:43" x14ac:dyDescent="0.3">
      <c r="A97" s="34"/>
      <c r="B97" s="35"/>
      <c r="C97" s="35"/>
      <c r="D97" s="34"/>
      <c r="G97" s="34"/>
      <c r="H97" s="34"/>
      <c r="I97" s="34"/>
      <c r="AJ97" s="34"/>
      <c r="AK97" s="34"/>
      <c r="AL97" s="34"/>
      <c r="AM97" s="34"/>
      <c r="AN97" s="34"/>
      <c r="AO97" s="34"/>
      <c r="AP97" s="34"/>
      <c r="AQ97" s="34"/>
    </row>
    <row r="98" spans="1:43" x14ac:dyDescent="0.3">
      <c r="A98" s="34"/>
      <c r="B98" s="35"/>
      <c r="C98" s="35"/>
      <c r="D98" s="34"/>
      <c r="G98" s="34"/>
      <c r="H98" s="34"/>
      <c r="I98" s="34"/>
      <c r="AJ98" s="34"/>
      <c r="AK98" s="34"/>
      <c r="AL98" s="34"/>
      <c r="AM98" s="34"/>
      <c r="AN98" s="34"/>
      <c r="AO98" s="34"/>
      <c r="AP98" s="34"/>
      <c r="AQ98" s="34"/>
    </row>
    <row r="99" spans="1:43" x14ac:dyDescent="0.3">
      <c r="A99" s="34"/>
      <c r="B99" s="35"/>
      <c r="C99" s="35"/>
      <c r="D99" s="34"/>
      <c r="G99" s="34"/>
      <c r="H99" s="34"/>
      <c r="I99" s="34"/>
      <c r="AJ99" s="34"/>
      <c r="AK99" s="34"/>
      <c r="AL99" s="34"/>
      <c r="AM99" s="34"/>
      <c r="AN99" s="34"/>
      <c r="AO99" s="34"/>
      <c r="AP99" s="34"/>
      <c r="AQ99" s="34"/>
    </row>
    <row r="100" spans="1:43" x14ac:dyDescent="0.3">
      <c r="A100" s="34"/>
      <c r="B100" s="35"/>
      <c r="C100" s="35"/>
      <c r="D100" s="34"/>
      <c r="G100" s="34"/>
      <c r="H100" s="34"/>
      <c r="I100" s="34"/>
      <c r="AJ100" s="34"/>
      <c r="AK100" s="34"/>
      <c r="AL100" s="34"/>
      <c r="AM100" s="34"/>
      <c r="AN100" s="34"/>
      <c r="AO100" s="34"/>
      <c r="AP100" s="34"/>
      <c r="AQ100" s="34"/>
    </row>
    <row r="101" spans="1:43" x14ac:dyDescent="0.3">
      <c r="A101" s="34"/>
      <c r="B101" s="35"/>
      <c r="C101" s="35"/>
      <c r="D101" s="34"/>
      <c r="G101" s="34"/>
      <c r="H101" s="34"/>
      <c r="I101" s="34"/>
      <c r="AJ101" s="34"/>
      <c r="AK101" s="34"/>
      <c r="AL101" s="34"/>
      <c r="AM101" s="34"/>
      <c r="AN101" s="34"/>
      <c r="AO101" s="34"/>
      <c r="AP101" s="34"/>
      <c r="AQ101" s="34"/>
    </row>
    <row r="102" spans="1:43" x14ac:dyDescent="0.3">
      <c r="A102" s="34"/>
      <c r="B102" s="35"/>
      <c r="C102" s="35"/>
      <c r="D102" s="34"/>
      <c r="G102" s="34"/>
      <c r="H102" s="34"/>
      <c r="I102" s="34"/>
      <c r="AJ102" s="34"/>
      <c r="AK102" s="34"/>
      <c r="AL102" s="34"/>
      <c r="AM102" s="34"/>
      <c r="AN102" s="34"/>
      <c r="AO102" s="34"/>
      <c r="AP102" s="34"/>
      <c r="AQ102" s="34"/>
    </row>
    <row r="103" spans="1:43" x14ac:dyDescent="0.3">
      <c r="A103" s="34"/>
      <c r="B103" s="35"/>
      <c r="C103" s="35"/>
      <c r="D103" s="34"/>
      <c r="G103" s="34"/>
      <c r="H103" s="34"/>
      <c r="I103" s="34"/>
      <c r="AJ103" s="34"/>
      <c r="AK103" s="34"/>
      <c r="AL103" s="34"/>
      <c r="AM103" s="34"/>
      <c r="AN103" s="34"/>
      <c r="AO103" s="34"/>
      <c r="AP103" s="34"/>
      <c r="AQ103" s="34"/>
    </row>
    <row r="104" spans="1:43" x14ac:dyDescent="0.3">
      <c r="A104" s="34"/>
      <c r="B104" s="35"/>
      <c r="C104" s="35"/>
      <c r="D104" s="34"/>
      <c r="G104" s="34"/>
      <c r="H104" s="34"/>
      <c r="I104" s="34"/>
      <c r="AJ104" s="34"/>
      <c r="AK104" s="34"/>
      <c r="AL104" s="34"/>
      <c r="AM104" s="34"/>
      <c r="AN104" s="34"/>
      <c r="AO104" s="34"/>
      <c r="AP104" s="34"/>
      <c r="AQ104" s="34"/>
    </row>
    <row r="105" spans="1:43" x14ac:dyDescent="0.3">
      <c r="A105" s="34"/>
      <c r="B105" s="35"/>
      <c r="C105" s="35"/>
      <c r="D105" s="34"/>
      <c r="G105" s="34"/>
      <c r="H105" s="34"/>
      <c r="I105" s="34"/>
      <c r="AJ105" s="34"/>
      <c r="AK105" s="34"/>
      <c r="AL105" s="34"/>
      <c r="AM105" s="34"/>
      <c r="AN105" s="34"/>
      <c r="AO105" s="34"/>
      <c r="AP105" s="34"/>
      <c r="AQ105" s="34"/>
    </row>
    <row r="106" spans="1:43" x14ac:dyDescent="0.3">
      <c r="A106" s="34"/>
      <c r="B106" s="35"/>
      <c r="C106" s="35"/>
      <c r="D106" s="34"/>
      <c r="G106" s="34"/>
      <c r="H106" s="34"/>
      <c r="I106" s="34"/>
      <c r="AJ106" s="34"/>
      <c r="AK106" s="34"/>
      <c r="AL106" s="34"/>
      <c r="AM106" s="34"/>
      <c r="AN106" s="34"/>
      <c r="AO106" s="34"/>
      <c r="AP106" s="34"/>
      <c r="AQ106" s="34"/>
    </row>
    <row r="107" spans="1:43" x14ac:dyDescent="0.3">
      <c r="A107" s="34"/>
      <c r="B107" s="35"/>
      <c r="C107" s="35"/>
      <c r="D107" s="34"/>
      <c r="G107" s="34"/>
      <c r="H107" s="34"/>
      <c r="I107" s="34"/>
      <c r="AJ107" s="34"/>
      <c r="AK107" s="34"/>
      <c r="AL107" s="34"/>
      <c r="AM107" s="34"/>
      <c r="AN107" s="34"/>
      <c r="AO107" s="34"/>
      <c r="AP107" s="34"/>
      <c r="AQ107" s="34"/>
    </row>
    <row r="108" spans="1:43" x14ac:dyDescent="0.3">
      <c r="A108" s="34"/>
      <c r="B108" s="35"/>
      <c r="C108" s="35"/>
      <c r="D108" s="34"/>
      <c r="G108" s="34"/>
      <c r="H108" s="34"/>
      <c r="I108" s="34"/>
      <c r="AJ108" s="34"/>
      <c r="AK108" s="34"/>
      <c r="AL108" s="34"/>
      <c r="AM108" s="34"/>
      <c r="AN108" s="34"/>
      <c r="AO108" s="34"/>
      <c r="AP108" s="34"/>
      <c r="AQ108" s="34"/>
    </row>
    <row r="109" spans="1:43" x14ac:dyDescent="0.3">
      <c r="A109" s="34"/>
      <c r="B109" s="35"/>
      <c r="C109" s="35"/>
      <c r="D109" s="34"/>
      <c r="G109" s="34"/>
      <c r="H109" s="34"/>
      <c r="I109" s="34"/>
      <c r="AJ109" s="34"/>
      <c r="AK109" s="34"/>
      <c r="AL109" s="34"/>
      <c r="AM109" s="34"/>
      <c r="AN109" s="34"/>
      <c r="AO109" s="34"/>
      <c r="AP109" s="34"/>
      <c r="AQ109" s="34"/>
    </row>
    <row r="110" spans="1:43" x14ac:dyDescent="0.3">
      <c r="A110" s="34"/>
      <c r="B110" s="35"/>
      <c r="C110" s="35"/>
      <c r="D110" s="34"/>
      <c r="G110" s="34"/>
      <c r="H110" s="34"/>
      <c r="I110" s="34"/>
      <c r="AJ110" s="34"/>
      <c r="AK110" s="34"/>
      <c r="AL110" s="34"/>
      <c r="AM110" s="34"/>
      <c r="AN110" s="34"/>
      <c r="AO110" s="34"/>
      <c r="AP110" s="34"/>
      <c r="AQ110" s="34"/>
    </row>
    <row r="111" spans="1:43" x14ac:dyDescent="0.3">
      <c r="A111" s="34"/>
      <c r="B111" s="35"/>
      <c r="C111" s="35"/>
      <c r="D111" s="34"/>
      <c r="G111" s="34"/>
      <c r="H111" s="34"/>
      <c r="I111" s="34"/>
      <c r="AJ111" s="34"/>
      <c r="AK111" s="34"/>
      <c r="AL111" s="34"/>
      <c r="AM111" s="34"/>
      <c r="AN111" s="34"/>
      <c r="AO111" s="34"/>
      <c r="AP111" s="34"/>
      <c r="AQ111" s="34"/>
    </row>
    <row r="112" spans="1:43" x14ac:dyDescent="0.3">
      <c r="A112" s="34"/>
      <c r="B112" s="35"/>
      <c r="C112" s="35"/>
      <c r="D112" s="34"/>
      <c r="G112" s="34"/>
      <c r="H112" s="34"/>
      <c r="I112" s="34"/>
      <c r="AJ112" s="34"/>
      <c r="AK112" s="34"/>
      <c r="AL112" s="34"/>
      <c r="AM112" s="34"/>
      <c r="AN112" s="34"/>
      <c r="AO112" s="34"/>
      <c r="AP112" s="34"/>
      <c r="AQ112" s="34"/>
    </row>
    <row r="113" spans="1:43" x14ac:dyDescent="0.3">
      <c r="A113" s="34"/>
      <c r="B113" s="35"/>
      <c r="C113" s="35"/>
      <c r="D113" s="34"/>
      <c r="G113" s="34"/>
      <c r="H113" s="34"/>
      <c r="I113" s="34"/>
      <c r="AJ113" s="34"/>
      <c r="AK113" s="34"/>
      <c r="AL113" s="34"/>
      <c r="AM113" s="34"/>
      <c r="AN113" s="34"/>
      <c r="AO113" s="34"/>
      <c r="AP113" s="34"/>
      <c r="AQ113" s="34"/>
    </row>
    <row r="114" spans="1:43" x14ac:dyDescent="0.3">
      <c r="A114" s="34"/>
      <c r="B114" s="35"/>
      <c r="C114" s="35"/>
      <c r="D114" s="34"/>
      <c r="G114" s="34"/>
      <c r="H114" s="34"/>
      <c r="I114" s="34"/>
      <c r="AJ114" s="34"/>
      <c r="AK114" s="34"/>
      <c r="AL114" s="34"/>
      <c r="AM114" s="34"/>
      <c r="AN114" s="34"/>
      <c r="AO114" s="34"/>
      <c r="AP114" s="34"/>
      <c r="AQ114" s="34"/>
    </row>
    <row r="115" spans="1:43" x14ac:dyDescent="0.3">
      <c r="A115" s="34"/>
      <c r="B115" s="35"/>
      <c r="C115" s="35"/>
      <c r="D115" s="34"/>
      <c r="G115" s="34"/>
      <c r="H115" s="34"/>
      <c r="I115" s="34"/>
      <c r="AJ115" s="34"/>
      <c r="AK115" s="34"/>
      <c r="AL115" s="34"/>
      <c r="AM115" s="34"/>
      <c r="AN115" s="34"/>
      <c r="AO115" s="34"/>
      <c r="AP115" s="34"/>
      <c r="AQ115" s="34"/>
    </row>
    <row r="116" spans="1:43" x14ac:dyDescent="0.3">
      <c r="A116" s="34"/>
      <c r="B116" s="35"/>
      <c r="C116" s="35"/>
      <c r="D116" s="34"/>
      <c r="G116" s="34"/>
      <c r="H116" s="34"/>
      <c r="I116" s="34"/>
      <c r="AJ116" s="34"/>
      <c r="AK116" s="34"/>
      <c r="AL116" s="34"/>
      <c r="AM116" s="34"/>
      <c r="AN116" s="34"/>
      <c r="AO116" s="34"/>
      <c r="AP116" s="34"/>
      <c r="AQ116" s="34"/>
    </row>
    <row r="117" spans="1:43" x14ac:dyDescent="0.3">
      <c r="A117" s="34"/>
      <c r="B117" s="35"/>
      <c r="C117" s="35"/>
      <c r="D117" s="34"/>
      <c r="G117" s="34"/>
      <c r="H117" s="34"/>
      <c r="I117" s="34"/>
      <c r="AJ117" s="34"/>
      <c r="AK117" s="34"/>
      <c r="AL117" s="34"/>
      <c r="AM117" s="34"/>
      <c r="AN117" s="34"/>
      <c r="AO117" s="34"/>
      <c r="AP117" s="34"/>
      <c r="AQ117" s="34"/>
    </row>
    <row r="118" spans="1:43" x14ac:dyDescent="0.3">
      <c r="A118" s="34"/>
      <c r="B118" s="35"/>
      <c r="C118" s="35"/>
      <c r="D118" s="34"/>
      <c r="G118" s="34"/>
      <c r="H118" s="34"/>
      <c r="I118" s="34"/>
      <c r="AJ118" s="34"/>
      <c r="AK118" s="34"/>
      <c r="AL118" s="34"/>
      <c r="AM118" s="34"/>
      <c r="AN118" s="34"/>
      <c r="AO118" s="34"/>
      <c r="AP118" s="34"/>
      <c r="AQ118" s="34"/>
    </row>
    <row r="119" spans="1:43" x14ac:dyDescent="0.3">
      <c r="A119" s="34"/>
      <c r="B119" s="35"/>
      <c r="C119" s="35"/>
      <c r="D119" s="34"/>
      <c r="G119" s="34"/>
      <c r="H119" s="34"/>
      <c r="I119" s="34"/>
      <c r="AJ119" s="34"/>
      <c r="AK119" s="34"/>
      <c r="AL119" s="34"/>
      <c r="AM119" s="34"/>
      <c r="AN119" s="34"/>
      <c r="AO119" s="34"/>
      <c r="AP119" s="34"/>
      <c r="AQ119" s="34"/>
    </row>
    <row r="120" spans="1:43" x14ac:dyDescent="0.3">
      <c r="A120" s="34"/>
      <c r="B120" s="35"/>
      <c r="C120" s="35"/>
      <c r="D120" s="34"/>
      <c r="G120" s="34"/>
      <c r="H120" s="34"/>
      <c r="I120" s="34"/>
      <c r="AJ120" s="34"/>
      <c r="AK120" s="34"/>
      <c r="AL120" s="34"/>
      <c r="AM120" s="34"/>
      <c r="AN120" s="34"/>
      <c r="AO120" s="34"/>
      <c r="AP120" s="34"/>
      <c r="AQ120" s="34"/>
    </row>
    <row r="121" spans="1:43" x14ac:dyDescent="0.3">
      <c r="A121" s="34"/>
      <c r="B121" s="35"/>
      <c r="C121" s="35"/>
      <c r="D121" s="34"/>
      <c r="G121" s="34"/>
      <c r="H121" s="34"/>
      <c r="I121" s="34"/>
      <c r="AJ121" s="34"/>
      <c r="AK121" s="34"/>
      <c r="AL121" s="34"/>
      <c r="AM121" s="34"/>
      <c r="AN121" s="34"/>
      <c r="AO121" s="34"/>
      <c r="AP121" s="34"/>
      <c r="AQ121" s="34"/>
    </row>
    <row r="122" spans="1:43" x14ac:dyDescent="0.3">
      <c r="A122" s="34"/>
      <c r="B122" s="35"/>
      <c r="C122" s="35"/>
      <c r="D122" s="34"/>
      <c r="G122" s="34"/>
      <c r="H122" s="34"/>
      <c r="I122" s="34"/>
      <c r="AJ122" s="34"/>
      <c r="AK122" s="34"/>
      <c r="AL122" s="34"/>
      <c r="AM122" s="34"/>
      <c r="AN122" s="34"/>
      <c r="AO122" s="34"/>
      <c r="AP122" s="34"/>
      <c r="AQ122" s="34"/>
    </row>
    <row r="123" spans="1:43" x14ac:dyDescent="0.3">
      <c r="A123" s="34"/>
      <c r="B123" s="35"/>
      <c r="C123" s="35"/>
      <c r="D123" s="34"/>
      <c r="G123" s="34"/>
      <c r="H123" s="34"/>
      <c r="I123" s="34"/>
      <c r="AJ123" s="34"/>
      <c r="AK123" s="34"/>
      <c r="AL123" s="34"/>
      <c r="AM123" s="34"/>
      <c r="AN123" s="34"/>
      <c r="AO123" s="34"/>
      <c r="AP123" s="34"/>
      <c r="AQ123" s="34"/>
    </row>
    <row r="124" spans="1:43" x14ac:dyDescent="0.3">
      <c r="A124" s="34"/>
      <c r="B124" s="35"/>
      <c r="C124" s="35"/>
      <c r="D124" s="34"/>
      <c r="G124" s="34"/>
      <c r="H124" s="34"/>
      <c r="I124" s="34"/>
      <c r="AJ124" s="34"/>
      <c r="AK124" s="34"/>
      <c r="AL124" s="34"/>
      <c r="AM124" s="34"/>
      <c r="AN124" s="34"/>
      <c r="AO124" s="34"/>
      <c r="AP124" s="34"/>
      <c r="AQ124" s="34"/>
    </row>
    <row r="125" spans="1:43" x14ac:dyDescent="0.3">
      <c r="A125" s="34"/>
      <c r="B125" s="35"/>
      <c r="C125" s="35"/>
      <c r="D125" s="34"/>
      <c r="G125" s="34"/>
      <c r="H125" s="34"/>
      <c r="I125" s="34"/>
      <c r="AJ125" s="34"/>
      <c r="AK125" s="34"/>
      <c r="AL125" s="34"/>
      <c r="AM125" s="34"/>
      <c r="AN125" s="34"/>
      <c r="AO125" s="34"/>
      <c r="AP125" s="34"/>
      <c r="AQ125" s="34"/>
    </row>
    <row r="126" spans="1:43" x14ac:dyDescent="0.3">
      <c r="A126" s="34"/>
      <c r="B126" s="35"/>
      <c r="C126" s="35"/>
      <c r="D126" s="34"/>
      <c r="G126" s="34"/>
      <c r="H126" s="34"/>
      <c r="I126" s="34"/>
      <c r="AJ126" s="34"/>
      <c r="AK126" s="34"/>
      <c r="AL126" s="34"/>
      <c r="AM126" s="34"/>
      <c r="AN126" s="34"/>
      <c r="AO126" s="34"/>
      <c r="AP126" s="34"/>
      <c r="AQ126" s="34"/>
    </row>
    <row r="127" spans="1:43" x14ac:dyDescent="0.3">
      <c r="A127" s="34"/>
      <c r="B127" s="35"/>
      <c r="C127" s="35"/>
      <c r="D127" s="34"/>
      <c r="G127" s="34"/>
      <c r="H127" s="34"/>
      <c r="I127" s="34"/>
      <c r="AJ127" s="34"/>
      <c r="AK127" s="34"/>
      <c r="AL127" s="34"/>
      <c r="AM127" s="34"/>
      <c r="AN127" s="34"/>
      <c r="AO127" s="34"/>
      <c r="AP127" s="34"/>
      <c r="AQ127" s="34"/>
    </row>
    <row r="128" spans="1:43" x14ac:dyDescent="0.3">
      <c r="A128" s="34"/>
      <c r="B128" s="35"/>
      <c r="C128" s="35"/>
      <c r="D128" s="34"/>
      <c r="G128" s="34"/>
      <c r="H128" s="34"/>
      <c r="I128" s="34"/>
      <c r="AJ128" s="34"/>
      <c r="AK128" s="34"/>
      <c r="AL128" s="34"/>
      <c r="AM128" s="34"/>
      <c r="AN128" s="34"/>
      <c r="AO128" s="34"/>
      <c r="AP128" s="34"/>
      <c r="AQ128" s="34"/>
    </row>
    <row r="129" spans="1:43" x14ac:dyDescent="0.3">
      <c r="A129" s="34"/>
      <c r="B129" s="35"/>
      <c r="C129" s="35"/>
      <c r="D129" s="34"/>
      <c r="G129" s="34"/>
      <c r="H129" s="34"/>
      <c r="I129" s="34"/>
      <c r="AJ129" s="34"/>
      <c r="AK129" s="34"/>
      <c r="AL129" s="34"/>
      <c r="AM129" s="34"/>
      <c r="AN129" s="34"/>
      <c r="AO129" s="34"/>
      <c r="AP129" s="34"/>
      <c r="AQ129" s="34"/>
    </row>
    <row r="130" spans="1:43" x14ac:dyDescent="0.3">
      <c r="A130" s="34"/>
      <c r="B130" s="35"/>
      <c r="C130" s="35"/>
      <c r="D130" s="34"/>
      <c r="G130" s="34"/>
      <c r="H130" s="34"/>
      <c r="I130" s="34"/>
      <c r="AJ130" s="34"/>
      <c r="AK130" s="34"/>
      <c r="AL130" s="34"/>
      <c r="AM130" s="34"/>
      <c r="AN130" s="34"/>
      <c r="AO130" s="34"/>
      <c r="AP130" s="34"/>
      <c r="AQ130" s="34"/>
    </row>
    <row r="131" spans="1:43" x14ac:dyDescent="0.3">
      <c r="A131" s="34"/>
      <c r="B131" s="35"/>
      <c r="C131" s="35"/>
      <c r="D131" s="34"/>
      <c r="G131" s="34"/>
      <c r="H131" s="34"/>
      <c r="I131" s="34"/>
      <c r="AJ131" s="34"/>
      <c r="AK131" s="34"/>
      <c r="AL131" s="34"/>
      <c r="AM131" s="34"/>
      <c r="AN131" s="34"/>
      <c r="AO131" s="34"/>
      <c r="AP131" s="34"/>
      <c r="AQ131" s="34"/>
    </row>
    <row r="132" spans="1:43" x14ac:dyDescent="0.3">
      <c r="A132" s="34"/>
      <c r="B132" s="35"/>
      <c r="C132" s="35"/>
      <c r="D132" s="34"/>
      <c r="G132" s="34"/>
      <c r="H132" s="34"/>
      <c r="I132" s="34"/>
      <c r="AJ132" s="34"/>
      <c r="AK132" s="34"/>
      <c r="AL132" s="34"/>
      <c r="AM132" s="34"/>
      <c r="AN132" s="34"/>
      <c r="AO132" s="34"/>
      <c r="AP132" s="34"/>
      <c r="AQ132" s="34"/>
    </row>
    <row r="133" spans="1:43" x14ac:dyDescent="0.3">
      <c r="A133" s="34"/>
      <c r="B133" s="35"/>
      <c r="C133" s="35"/>
      <c r="D133" s="34"/>
      <c r="G133" s="34"/>
      <c r="H133" s="34"/>
      <c r="I133" s="34"/>
      <c r="AJ133" s="34"/>
      <c r="AK133" s="34"/>
      <c r="AL133" s="34"/>
      <c r="AM133" s="34"/>
      <c r="AN133" s="34"/>
      <c r="AO133" s="34"/>
      <c r="AP133" s="34"/>
      <c r="AQ133" s="34"/>
    </row>
    <row r="134" spans="1:43" x14ac:dyDescent="0.3">
      <c r="A134" s="34"/>
      <c r="B134" s="35"/>
      <c r="C134" s="35"/>
      <c r="D134" s="34"/>
      <c r="G134" s="34"/>
      <c r="H134" s="34"/>
      <c r="I134" s="34"/>
      <c r="AJ134" s="34"/>
      <c r="AK134" s="34"/>
      <c r="AL134" s="34"/>
      <c r="AM134" s="34"/>
      <c r="AN134" s="34"/>
      <c r="AO134" s="34"/>
      <c r="AP134" s="34"/>
      <c r="AQ134" s="34"/>
    </row>
    <row r="135" spans="1:43" x14ac:dyDescent="0.3">
      <c r="A135" s="34"/>
      <c r="B135" s="35"/>
      <c r="C135" s="35"/>
      <c r="D135" s="34"/>
      <c r="G135" s="34"/>
      <c r="H135" s="34"/>
      <c r="I135" s="34"/>
      <c r="AJ135" s="34"/>
      <c r="AK135" s="34"/>
      <c r="AL135" s="34"/>
      <c r="AM135" s="34"/>
      <c r="AN135" s="34"/>
      <c r="AO135" s="34"/>
      <c r="AP135" s="34"/>
      <c r="AQ135" s="34"/>
    </row>
    <row r="136" spans="1:43" x14ac:dyDescent="0.3">
      <c r="A136" s="34"/>
      <c r="B136" s="35"/>
      <c r="C136" s="35"/>
      <c r="D136" s="34"/>
      <c r="G136" s="34"/>
      <c r="H136" s="34"/>
      <c r="I136" s="34"/>
      <c r="AJ136" s="34"/>
      <c r="AK136" s="34"/>
      <c r="AL136" s="34"/>
      <c r="AM136" s="34"/>
      <c r="AN136" s="34"/>
      <c r="AO136" s="34"/>
      <c r="AP136" s="34"/>
      <c r="AQ136" s="34"/>
    </row>
    <row r="137" spans="1:43" x14ac:dyDescent="0.3">
      <c r="A137" s="34"/>
      <c r="B137" s="35"/>
      <c r="C137" s="35"/>
      <c r="D137" s="34"/>
      <c r="G137" s="34"/>
      <c r="H137" s="34"/>
      <c r="I137" s="34"/>
      <c r="AJ137" s="34"/>
      <c r="AK137" s="34"/>
      <c r="AL137" s="34"/>
      <c r="AM137" s="34"/>
      <c r="AN137" s="34"/>
      <c r="AO137" s="34"/>
      <c r="AP137" s="34"/>
      <c r="AQ137" s="34"/>
    </row>
    <row r="138" spans="1:43" x14ac:dyDescent="0.3">
      <c r="A138" s="34"/>
      <c r="B138" s="35"/>
      <c r="C138" s="35"/>
      <c r="D138" s="34"/>
      <c r="G138" s="34"/>
      <c r="H138" s="34"/>
      <c r="I138" s="34"/>
      <c r="AJ138" s="34"/>
      <c r="AK138" s="34"/>
      <c r="AL138" s="34"/>
      <c r="AM138" s="34"/>
      <c r="AN138" s="34"/>
      <c r="AO138" s="34"/>
      <c r="AP138" s="34"/>
      <c r="AQ138" s="34"/>
    </row>
    <row r="139" spans="1:43" x14ac:dyDescent="0.3">
      <c r="A139" s="34"/>
      <c r="B139" s="35"/>
      <c r="C139" s="35"/>
      <c r="D139" s="34"/>
      <c r="G139" s="34"/>
      <c r="H139" s="34"/>
      <c r="I139" s="34"/>
      <c r="AJ139" s="34"/>
      <c r="AK139" s="34"/>
      <c r="AL139" s="34"/>
      <c r="AM139" s="34"/>
      <c r="AN139" s="34"/>
      <c r="AO139" s="34"/>
      <c r="AP139" s="34"/>
      <c r="AQ139" s="34"/>
    </row>
    <row r="140" spans="1:43" x14ac:dyDescent="0.3">
      <c r="A140" s="34"/>
      <c r="B140" s="35"/>
      <c r="C140" s="35"/>
      <c r="D140" s="34"/>
      <c r="G140" s="34"/>
      <c r="H140" s="34"/>
      <c r="I140" s="34"/>
      <c r="AJ140" s="34"/>
      <c r="AK140" s="34"/>
      <c r="AL140" s="34"/>
      <c r="AM140" s="34"/>
      <c r="AN140" s="34"/>
      <c r="AO140" s="34"/>
      <c r="AP140" s="34"/>
      <c r="AQ140" s="34"/>
    </row>
    <row r="141" spans="1:43" x14ac:dyDescent="0.3">
      <c r="A141" s="34"/>
      <c r="B141" s="35"/>
      <c r="C141" s="35"/>
      <c r="D141" s="34"/>
      <c r="G141" s="34"/>
      <c r="H141" s="34"/>
      <c r="I141" s="34"/>
      <c r="AJ141" s="34"/>
      <c r="AK141" s="34"/>
      <c r="AL141" s="34"/>
      <c r="AM141" s="34"/>
      <c r="AN141" s="34"/>
      <c r="AO141" s="34"/>
      <c r="AP141" s="34"/>
      <c r="AQ141" s="34"/>
    </row>
    <row r="142" spans="1:43" x14ac:dyDescent="0.3">
      <c r="A142" s="34"/>
      <c r="B142" s="35"/>
      <c r="C142" s="35"/>
      <c r="D142" s="34"/>
      <c r="G142" s="34"/>
      <c r="H142" s="34"/>
      <c r="I142" s="34"/>
      <c r="AJ142" s="34"/>
      <c r="AK142" s="34"/>
      <c r="AL142" s="34"/>
      <c r="AM142" s="34"/>
      <c r="AN142" s="34"/>
      <c r="AO142" s="34"/>
      <c r="AP142" s="34"/>
      <c r="AQ142" s="34"/>
    </row>
    <row r="143" spans="1:43" x14ac:dyDescent="0.3">
      <c r="A143" s="34"/>
      <c r="B143" s="35"/>
      <c r="C143" s="35"/>
      <c r="D143" s="34"/>
      <c r="G143" s="34"/>
      <c r="H143" s="34"/>
      <c r="I143" s="34"/>
      <c r="AJ143" s="34"/>
      <c r="AK143" s="34"/>
      <c r="AL143" s="34"/>
      <c r="AM143" s="34"/>
      <c r="AN143" s="34"/>
      <c r="AO143" s="34"/>
      <c r="AP143" s="34"/>
      <c r="AQ143" s="34"/>
    </row>
    <row r="144" spans="1:43" x14ac:dyDescent="0.3">
      <c r="A144" s="34"/>
      <c r="B144" s="35"/>
      <c r="C144" s="35"/>
      <c r="D144" s="34"/>
      <c r="G144" s="34"/>
      <c r="H144" s="34"/>
      <c r="I144" s="34"/>
      <c r="AJ144" s="34"/>
      <c r="AK144" s="34"/>
      <c r="AL144" s="34"/>
      <c r="AM144" s="34"/>
      <c r="AN144" s="34"/>
      <c r="AO144" s="34"/>
      <c r="AP144" s="34"/>
      <c r="AQ144" s="34"/>
    </row>
    <row r="145" spans="1:43" x14ac:dyDescent="0.3">
      <c r="A145" s="34"/>
      <c r="B145" s="35"/>
      <c r="C145" s="35"/>
      <c r="D145" s="34"/>
      <c r="G145" s="34"/>
      <c r="H145" s="34"/>
      <c r="I145" s="34"/>
      <c r="AJ145" s="34"/>
      <c r="AK145" s="34"/>
      <c r="AL145" s="34"/>
      <c r="AM145" s="34"/>
      <c r="AN145" s="34"/>
      <c r="AO145" s="34"/>
      <c r="AP145" s="34"/>
      <c r="AQ145" s="34"/>
    </row>
    <row r="146" spans="1:43" x14ac:dyDescent="0.3">
      <c r="A146" s="34"/>
      <c r="B146" s="35"/>
      <c r="C146" s="35"/>
      <c r="D146" s="34"/>
      <c r="G146" s="34"/>
      <c r="H146" s="34"/>
      <c r="I146" s="34"/>
      <c r="AJ146" s="34"/>
      <c r="AK146" s="34"/>
      <c r="AL146" s="34"/>
      <c r="AM146" s="34"/>
      <c r="AN146" s="34"/>
      <c r="AO146" s="34"/>
      <c r="AP146" s="34"/>
      <c r="AQ146" s="34"/>
    </row>
    <row r="147" spans="1:43" x14ac:dyDescent="0.3">
      <c r="A147" s="34"/>
      <c r="B147" s="35"/>
      <c r="C147" s="35"/>
      <c r="D147" s="34"/>
      <c r="G147" s="34"/>
      <c r="H147" s="34"/>
      <c r="I147" s="34"/>
      <c r="AJ147" s="34"/>
      <c r="AK147" s="34"/>
      <c r="AL147" s="34"/>
      <c r="AM147" s="34"/>
      <c r="AN147" s="34"/>
      <c r="AO147" s="34"/>
      <c r="AP147" s="34"/>
      <c r="AQ147" s="34"/>
    </row>
    <row r="148" spans="1:43" x14ac:dyDescent="0.3">
      <c r="A148" s="34"/>
      <c r="B148" s="35"/>
      <c r="C148" s="35"/>
      <c r="D148" s="34"/>
      <c r="G148" s="34"/>
      <c r="H148" s="34"/>
      <c r="I148" s="34"/>
      <c r="AJ148" s="34"/>
      <c r="AK148" s="34"/>
      <c r="AL148" s="34"/>
      <c r="AM148" s="34"/>
      <c r="AN148" s="34"/>
      <c r="AO148" s="34"/>
      <c r="AP148" s="34"/>
      <c r="AQ148" s="34"/>
    </row>
    <row r="149" spans="1:43" x14ac:dyDescent="0.3">
      <c r="A149" s="34"/>
      <c r="B149" s="35"/>
      <c r="C149" s="35"/>
      <c r="D149" s="34"/>
      <c r="G149" s="34"/>
      <c r="H149" s="34"/>
      <c r="I149" s="34"/>
      <c r="AJ149" s="34"/>
      <c r="AK149" s="34"/>
      <c r="AL149" s="34"/>
      <c r="AM149" s="34"/>
      <c r="AN149" s="34"/>
      <c r="AO149" s="34"/>
      <c r="AP149" s="34"/>
      <c r="AQ149" s="34"/>
    </row>
    <row r="150" spans="1:43" x14ac:dyDescent="0.3">
      <c r="A150" s="34"/>
      <c r="B150" s="35"/>
      <c r="C150" s="35"/>
      <c r="D150" s="34"/>
      <c r="G150" s="34"/>
      <c r="H150" s="34"/>
      <c r="I150" s="34"/>
      <c r="AJ150" s="34"/>
      <c r="AK150" s="34"/>
      <c r="AL150" s="34"/>
      <c r="AM150" s="34"/>
      <c r="AN150" s="34"/>
      <c r="AO150" s="34"/>
      <c r="AP150" s="34"/>
      <c r="AQ150" s="34"/>
    </row>
    <row r="151" spans="1:43" x14ac:dyDescent="0.3">
      <c r="A151" s="34"/>
      <c r="B151" s="35"/>
      <c r="C151" s="35"/>
      <c r="D151" s="34"/>
      <c r="G151" s="34"/>
      <c r="H151" s="34"/>
      <c r="I151" s="34"/>
      <c r="AJ151" s="34"/>
      <c r="AK151" s="34"/>
      <c r="AL151" s="34"/>
      <c r="AM151" s="34"/>
      <c r="AN151" s="34"/>
      <c r="AO151" s="34"/>
      <c r="AP151" s="34"/>
      <c r="AQ151" s="34"/>
    </row>
    <row r="152" spans="1:43" x14ac:dyDescent="0.3">
      <c r="A152" s="34"/>
      <c r="B152" s="35"/>
      <c r="C152" s="35"/>
      <c r="D152" s="34"/>
      <c r="G152" s="34"/>
      <c r="H152" s="34"/>
      <c r="I152" s="34"/>
      <c r="AJ152" s="34"/>
      <c r="AK152" s="34"/>
      <c r="AL152" s="34"/>
      <c r="AM152" s="34"/>
      <c r="AN152" s="34"/>
      <c r="AO152" s="34"/>
      <c r="AP152" s="34"/>
      <c r="AQ152" s="34"/>
    </row>
    <row r="153" spans="1:43" x14ac:dyDescent="0.3">
      <c r="A153" s="34"/>
      <c r="B153" s="35"/>
      <c r="C153" s="35"/>
      <c r="D153" s="34"/>
      <c r="G153" s="34"/>
      <c r="H153" s="34"/>
      <c r="I153" s="34"/>
      <c r="AJ153" s="34"/>
      <c r="AK153" s="34"/>
      <c r="AL153" s="34"/>
      <c r="AM153" s="34"/>
      <c r="AN153" s="34"/>
      <c r="AO153" s="34"/>
      <c r="AP153" s="34"/>
      <c r="AQ153" s="34"/>
    </row>
    <row r="154" spans="1:43" x14ac:dyDescent="0.3">
      <c r="A154" s="34"/>
      <c r="B154" s="35"/>
      <c r="C154" s="35"/>
      <c r="D154" s="34"/>
      <c r="G154" s="34"/>
      <c r="H154" s="34"/>
      <c r="I154" s="34"/>
      <c r="AJ154" s="34"/>
      <c r="AK154" s="34"/>
      <c r="AL154" s="34"/>
      <c r="AM154" s="34"/>
      <c r="AN154" s="34"/>
      <c r="AO154" s="34"/>
      <c r="AP154" s="34"/>
      <c r="AQ154" s="34"/>
    </row>
    <row r="155" spans="1:43" x14ac:dyDescent="0.3">
      <c r="A155" s="34"/>
      <c r="B155" s="35"/>
      <c r="C155" s="35"/>
      <c r="D155" s="34"/>
      <c r="G155" s="34"/>
      <c r="H155" s="34"/>
      <c r="I155" s="34"/>
      <c r="AJ155" s="34"/>
      <c r="AK155" s="34"/>
      <c r="AL155" s="34"/>
      <c r="AM155" s="34"/>
      <c r="AN155" s="34"/>
      <c r="AO155" s="34"/>
      <c r="AP155" s="34"/>
      <c r="AQ155" s="34"/>
    </row>
    <row r="156" spans="1:43" x14ac:dyDescent="0.3">
      <c r="A156" s="34"/>
      <c r="B156" s="35"/>
      <c r="C156" s="35"/>
      <c r="D156" s="34"/>
      <c r="G156" s="34"/>
      <c r="H156" s="34"/>
      <c r="I156" s="34"/>
      <c r="AJ156" s="34"/>
      <c r="AK156" s="34"/>
      <c r="AL156" s="34"/>
      <c r="AM156" s="34"/>
      <c r="AN156" s="34"/>
      <c r="AO156" s="34"/>
      <c r="AP156" s="34"/>
      <c r="AQ156" s="34"/>
    </row>
  </sheetData>
  <sheetProtection autoFilter="0" pivotTables="0"/>
  <mergeCells count="4">
    <mergeCell ref="F2:F18"/>
    <mergeCell ref="A20:I20"/>
    <mergeCell ref="A2:A5"/>
    <mergeCell ref="A7:A18"/>
  </mergeCells>
  <dataValidations count="1">
    <dataValidation type="list" allowBlank="1" showInputMessage="1" showErrorMessage="1" sqref="B3" xr:uid="{AAF97594-24DF-49A0-A755-BFA65D8A6014}">
      <formula1>Date</formula1>
    </dataValidation>
  </dataValidations>
  <pageMargins left="0.7" right="0.7" top="0.75" bottom="0.75" header="0.3" footer="0.3"/>
  <pageSetup paperSize="9" orientation="portrait" horizontalDpi="300" verticalDpi="300" r:id="rId3"/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75D7A9-BAE6-4271-8806-3437B9EFBC58}">
          <x14:formula1>
            <xm:f>'Quarterly Calculations'!$A$4:$A$7</xm:f>
          </x14:formula1>
          <xm:sqref>B8</xm:sqref>
        </x14:dataValidation>
      </x14:dataValidations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44"/>
  <sheetViews>
    <sheetView topLeftCell="A4" zoomScaleNormal="100" workbookViewId="0">
      <selection activeCell="F4" sqref="F4"/>
    </sheetView>
  </sheetViews>
  <sheetFormatPr defaultRowHeight="14.4" x14ac:dyDescent="0.3"/>
  <cols>
    <col min="1" max="1" width="12.88671875" style="1" customWidth="1"/>
    <col min="2" max="2" width="9.33203125" style="8" customWidth="1"/>
    <col min="3" max="3" width="10.33203125" style="4" bestFit="1" customWidth="1"/>
    <col min="4" max="4" width="13.5546875" style="6" customWidth="1"/>
    <col min="5" max="5" width="19.44140625" style="15" bestFit="1" customWidth="1"/>
    <col min="6" max="6" width="23.109375" style="15" bestFit="1" customWidth="1"/>
    <col min="7" max="7" width="15.109375" customWidth="1"/>
    <col min="8" max="8" width="15" bestFit="1" customWidth="1"/>
    <col min="9" max="9" width="19.109375" style="21" bestFit="1" customWidth="1"/>
    <col min="10" max="10" width="24.44140625" bestFit="1" customWidth="1"/>
  </cols>
  <sheetData>
    <row r="1" spans="1:10" x14ac:dyDescent="0.3">
      <c r="A1" s="2"/>
      <c r="B1" s="2"/>
      <c r="C1" s="2"/>
      <c r="D1" s="2"/>
      <c r="E1" s="3"/>
      <c r="F1" s="3"/>
    </row>
    <row r="2" spans="1:10" x14ac:dyDescent="0.3">
      <c r="A2" s="2"/>
      <c r="B2" s="2"/>
      <c r="C2" s="2"/>
      <c r="D2" s="2"/>
      <c r="E2" s="3"/>
      <c r="F2" s="3"/>
    </row>
    <row r="3" spans="1:10" s="11" customFormat="1" x14ac:dyDescent="0.3">
      <c r="E3" s="3"/>
      <c r="F3" s="3"/>
      <c r="I3" s="21"/>
    </row>
    <row r="4" spans="1:10" x14ac:dyDescent="0.3">
      <c r="A4"/>
      <c r="B4"/>
      <c r="C4"/>
      <c r="D4"/>
      <c r="E4" s="4"/>
      <c r="F4" s="4"/>
    </row>
    <row r="5" spans="1:10" x14ac:dyDescent="0.3">
      <c r="G5" s="13"/>
      <c r="H5">
        <f>AVERAGE(H8:H11)</f>
        <v>30.696380785820423</v>
      </c>
    </row>
    <row r="6" spans="1:10" s="11" customFormat="1" x14ac:dyDescent="0.3">
      <c r="A6" s="2" t="s">
        <v>0</v>
      </c>
      <c r="B6" s="7" t="s">
        <v>1</v>
      </c>
      <c r="C6" s="3" t="s">
        <v>2</v>
      </c>
      <c r="D6" s="5" t="s">
        <v>3</v>
      </c>
      <c r="E6" s="16" t="s">
        <v>5</v>
      </c>
      <c r="F6" s="16" t="s">
        <v>7</v>
      </c>
      <c r="G6" s="11" t="s">
        <v>4</v>
      </c>
      <c r="H6" s="11" t="s">
        <v>6</v>
      </c>
      <c r="I6" s="11" t="s">
        <v>8</v>
      </c>
      <c r="J6" s="11" t="s">
        <v>9</v>
      </c>
    </row>
    <row r="7" spans="1:10" x14ac:dyDescent="0.3">
      <c r="B7" s="9">
        <v>34116</v>
      </c>
      <c r="D7" s="10"/>
      <c r="E7" s="17"/>
      <c r="F7" s="17"/>
    </row>
    <row r="8" spans="1:10" x14ac:dyDescent="0.3">
      <c r="A8" s="1">
        <v>43831</v>
      </c>
      <c r="B8" s="8">
        <v>34441</v>
      </c>
      <c r="C8" s="4">
        <v>11.06</v>
      </c>
      <c r="D8" s="12">
        <v>37.159999999999997</v>
      </c>
      <c r="E8" s="15">
        <f>B8-B7</f>
        <v>325</v>
      </c>
      <c r="F8" s="15">
        <f>(CONVERT(E8,"mi", "m") /1000)</f>
        <v>523.03679999999997</v>
      </c>
      <c r="G8" s="14">
        <f t="shared" ref="G8:G38" si="0">D8/C8</f>
        <v>3.3598553345388784</v>
      </c>
      <c r="H8" s="4">
        <f>E8/C8</f>
        <v>29.385171790235081</v>
      </c>
      <c r="I8" s="22">
        <f>$E$8</f>
        <v>325</v>
      </c>
      <c r="J8" s="4">
        <f>$F$8</f>
        <v>523.03679999999997</v>
      </c>
    </row>
    <row r="9" spans="1:10" x14ac:dyDescent="0.3">
      <c r="A9" s="1">
        <v>43835</v>
      </c>
      <c r="B9" s="8">
        <v>34808</v>
      </c>
      <c r="C9" s="4">
        <v>11.3</v>
      </c>
      <c r="D9" s="12">
        <v>39.1</v>
      </c>
      <c r="E9" s="15">
        <f>B9-B8</f>
        <v>367</v>
      </c>
      <c r="F9" s="15">
        <f t="shared" ref="F9:F38" si="1">(CONVERT(E9,"mi", "m") /1000)</f>
        <v>590.62924800000008</v>
      </c>
      <c r="G9" s="14">
        <f t="shared" si="0"/>
        <v>3.4601769911504423</v>
      </c>
      <c r="H9" s="4">
        <f t="shared" ref="H9:H38" si="2">E9/C9</f>
        <v>32.477876106194685</v>
      </c>
      <c r="I9" s="22">
        <f>SUM($E$8:E9)</f>
        <v>692</v>
      </c>
      <c r="J9" s="4">
        <f>SUM($F$8:F9)</f>
        <v>1113.666048</v>
      </c>
    </row>
    <row r="10" spans="1:10" x14ac:dyDescent="0.3">
      <c r="A10" s="1">
        <v>43849</v>
      </c>
      <c r="B10" s="8">
        <v>35143</v>
      </c>
      <c r="C10" s="4">
        <v>10.84</v>
      </c>
      <c r="D10" s="12">
        <v>39.47</v>
      </c>
      <c r="E10" s="15">
        <f t="shared" ref="E10:E38" si="3">B10-B9</f>
        <v>335</v>
      </c>
      <c r="F10" s="15">
        <f t="shared" si="1"/>
        <v>539.13023999999996</v>
      </c>
      <c r="G10" s="14">
        <f t="shared" si="0"/>
        <v>3.6411439114391144</v>
      </c>
      <c r="H10" s="4">
        <f t="shared" si="2"/>
        <v>30.904059040590408</v>
      </c>
      <c r="I10" s="22">
        <f>SUM($E$8:E10)</f>
        <v>1027</v>
      </c>
      <c r="J10" s="4">
        <f>SUM($F$8:F10)</f>
        <v>1652.796288</v>
      </c>
    </row>
    <row r="11" spans="1:10" x14ac:dyDescent="0.3">
      <c r="A11" s="1">
        <v>43858</v>
      </c>
      <c r="B11" s="8">
        <v>35469</v>
      </c>
      <c r="C11" s="4">
        <v>10.86</v>
      </c>
      <c r="D11" s="12">
        <v>38</v>
      </c>
      <c r="E11" s="15">
        <f t="shared" si="3"/>
        <v>326</v>
      </c>
      <c r="F11" s="15">
        <f t="shared" si="1"/>
        <v>524.64614399999994</v>
      </c>
      <c r="G11" s="14">
        <f t="shared" si="0"/>
        <v>3.4990791896869249</v>
      </c>
      <c r="H11" s="4">
        <f t="shared" si="2"/>
        <v>30.018416206261513</v>
      </c>
      <c r="I11" s="22">
        <f>SUM($E$8:E11)</f>
        <v>1353</v>
      </c>
      <c r="J11" s="4">
        <f>SUM($F$8:F11)</f>
        <v>2177.4424319999998</v>
      </c>
    </row>
    <row r="12" spans="1:10" x14ac:dyDescent="0.3">
      <c r="A12" s="1">
        <v>43869</v>
      </c>
      <c r="B12" s="8">
        <v>35814</v>
      </c>
      <c r="C12" s="4">
        <v>11.18</v>
      </c>
      <c r="D12" s="12">
        <v>39.119999999999997</v>
      </c>
      <c r="E12" s="15">
        <f t="shared" si="3"/>
        <v>345</v>
      </c>
      <c r="F12" s="15">
        <f t="shared" si="1"/>
        <v>555.22368000000006</v>
      </c>
      <c r="G12" s="14">
        <f t="shared" si="0"/>
        <v>3.4991055456171734</v>
      </c>
      <c r="H12" s="4">
        <f t="shared" si="2"/>
        <v>30.858676207513419</v>
      </c>
      <c r="I12" s="22">
        <f>SUM($E$8:E12)</f>
        <v>1698</v>
      </c>
      <c r="J12" s="4">
        <f>SUM($F$8:F12)</f>
        <v>2732.6661119999999</v>
      </c>
    </row>
    <row r="13" spans="1:10" x14ac:dyDescent="0.3">
      <c r="A13" s="1">
        <v>43881</v>
      </c>
      <c r="B13" s="8">
        <v>36146</v>
      </c>
      <c r="C13" s="4">
        <v>11.35</v>
      </c>
      <c r="D13" s="12">
        <v>40.880000000000003</v>
      </c>
      <c r="E13" s="15">
        <f t="shared" si="3"/>
        <v>332</v>
      </c>
      <c r="F13" s="15">
        <f t="shared" si="1"/>
        <v>534.30220799999995</v>
      </c>
      <c r="G13" s="14">
        <f t="shared" si="0"/>
        <v>3.6017621145374452</v>
      </c>
      <c r="H13" s="4">
        <f t="shared" si="2"/>
        <v>29.251101321585903</v>
      </c>
      <c r="I13" s="22">
        <f>SUM($E$8:E13)</f>
        <v>2030</v>
      </c>
      <c r="J13" s="4">
        <f>SUM($F$8:F13)</f>
        <v>3266.9683199999999</v>
      </c>
    </row>
    <row r="14" spans="1:10" x14ac:dyDescent="0.3">
      <c r="A14" s="1">
        <v>43895</v>
      </c>
      <c r="B14" s="8">
        <v>36482</v>
      </c>
      <c r="C14" s="4">
        <v>11.18</v>
      </c>
      <c r="D14" s="12">
        <v>42.52</v>
      </c>
      <c r="E14" s="15">
        <f t="shared" si="3"/>
        <v>336</v>
      </c>
      <c r="F14" s="15">
        <f t="shared" si="1"/>
        <v>540.73958400000004</v>
      </c>
      <c r="G14" s="14">
        <f t="shared" si="0"/>
        <v>3.8032200357781756</v>
      </c>
      <c r="H14" s="4">
        <f t="shared" si="2"/>
        <v>30.05366726296959</v>
      </c>
      <c r="I14" s="22">
        <f>SUM($E$8:E14)</f>
        <v>2366</v>
      </c>
      <c r="J14" s="4">
        <f>SUM($F$8:F14)</f>
        <v>3807.7079039999999</v>
      </c>
    </row>
    <row r="15" spans="1:10" x14ac:dyDescent="0.3">
      <c r="A15" s="1">
        <v>43898</v>
      </c>
      <c r="B15" s="8">
        <v>36778</v>
      </c>
      <c r="C15" s="4">
        <v>9.15</v>
      </c>
      <c r="D15" s="12">
        <v>34.75</v>
      </c>
      <c r="E15" s="15">
        <f t="shared" si="3"/>
        <v>296</v>
      </c>
      <c r="F15" s="15">
        <f t="shared" si="1"/>
        <v>476.36582400000003</v>
      </c>
      <c r="G15" s="14">
        <f t="shared" si="0"/>
        <v>3.7978142076502732</v>
      </c>
      <c r="H15" s="4">
        <f t="shared" si="2"/>
        <v>32.349726775956285</v>
      </c>
      <c r="I15" s="22">
        <f>SUM($E$8:E15)</f>
        <v>2662</v>
      </c>
      <c r="J15" s="4">
        <f>SUM($F$8:F15)</f>
        <v>4284.0737280000003</v>
      </c>
    </row>
    <row r="16" spans="1:10" x14ac:dyDescent="0.3">
      <c r="A16" s="1">
        <v>43903</v>
      </c>
      <c r="B16" s="8">
        <v>37148</v>
      </c>
      <c r="C16" s="4">
        <v>10.94</v>
      </c>
      <c r="D16" s="12">
        <v>42.2</v>
      </c>
      <c r="E16" s="15">
        <f t="shared" si="3"/>
        <v>370</v>
      </c>
      <c r="F16" s="15">
        <f t="shared" si="1"/>
        <v>595.45728000000008</v>
      </c>
      <c r="G16" s="14">
        <f t="shared" si="0"/>
        <v>3.8574040219378434</v>
      </c>
      <c r="H16" s="4">
        <f t="shared" si="2"/>
        <v>33.820840950639855</v>
      </c>
      <c r="I16" s="22">
        <f>SUM($E$8:E16)</f>
        <v>3032</v>
      </c>
      <c r="J16" s="4">
        <f>SUM($F$8:F16)</f>
        <v>4879.5310079999999</v>
      </c>
    </row>
    <row r="17" spans="1:10" x14ac:dyDescent="0.3">
      <c r="A17" s="1">
        <v>43911</v>
      </c>
      <c r="B17" s="8">
        <v>37524</v>
      </c>
      <c r="C17" s="4">
        <v>11.27</v>
      </c>
      <c r="D17" s="12">
        <v>43.5</v>
      </c>
      <c r="E17" s="15">
        <f t="shared" si="3"/>
        <v>376</v>
      </c>
      <c r="F17" s="15">
        <f t="shared" si="1"/>
        <v>605.1133440000001</v>
      </c>
      <c r="G17" s="14">
        <f t="shared" si="0"/>
        <v>3.8598047914818103</v>
      </c>
      <c r="H17" s="4">
        <f t="shared" si="2"/>
        <v>33.362910381543927</v>
      </c>
      <c r="I17" s="22">
        <f>SUM($E$8:E17)</f>
        <v>3408</v>
      </c>
      <c r="J17" s="4">
        <f>SUM($F$8:F17)</f>
        <v>5484.6443520000003</v>
      </c>
    </row>
    <row r="18" spans="1:10" x14ac:dyDescent="0.3">
      <c r="A18" s="1">
        <v>43924</v>
      </c>
      <c r="B18" s="8">
        <v>37861</v>
      </c>
      <c r="C18" s="4">
        <v>10.93</v>
      </c>
      <c r="D18" s="12">
        <v>43.72</v>
      </c>
      <c r="E18" s="15">
        <f t="shared" si="3"/>
        <v>337</v>
      </c>
      <c r="F18" s="15">
        <f t="shared" si="1"/>
        <v>542.348928</v>
      </c>
      <c r="G18" s="14">
        <f t="shared" si="0"/>
        <v>4</v>
      </c>
      <c r="H18" s="4">
        <f t="shared" si="2"/>
        <v>30.832570905763955</v>
      </c>
      <c r="I18" s="22">
        <f>SUM($E$8:E18)</f>
        <v>3745</v>
      </c>
      <c r="J18" s="4">
        <f>SUM($F$8:F18)</f>
        <v>6026.9932800000006</v>
      </c>
    </row>
    <row r="19" spans="1:10" x14ac:dyDescent="0.3">
      <c r="A19" s="1">
        <v>43938</v>
      </c>
      <c r="B19" s="8">
        <v>38201</v>
      </c>
      <c r="C19" s="4">
        <v>11.17</v>
      </c>
      <c r="D19" s="12">
        <v>44.1</v>
      </c>
      <c r="E19" s="15">
        <f t="shared" si="3"/>
        <v>340</v>
      </c>
      <c r="F19" s="15">
        <f t="shared" si="1"/>
        <v>547.17696000000001</v>
      </c>
      <c r="G19" s="14">
        <f t="shared" si="0"/>
        <v>3.9480752014324083</v>
      </c>
      <c r="H19" s="4">
        <f t="shared" si="2"/>
        <v>30.438675022381378</v>
      </c>
      <c r="I19" s="22">
        <f>SUM($E$8:E19)</f>
        <v>4085</v>
      </c>
      <c r="J19" s="4">
        <f>SUM($F$8:F19)</f>
        <v>6574.1702400000004</v>
      </c>
    </row>
    <row r="20" spans="1:10" x14ac:dyDescent="0.3">
      <c r="A20" s="1">
        <v>43952</v>
      </c>
      <c r="B20" s="8">
        <v>38562</v>
      </c>
      <c r="C20" s="4">
        <v>11.16</v>
      </c>
      <c r="D20" s="12">
        <v>43.51</v>
      </c>
      <c r="E20" s="15">
        <f t="shared" si="3"/>
        <v>361</v>
      </c>
      <c r="F20" s="15">
        <f t="shared" si="1"/>
        <v>580.97318400000006</v>
      </c>
      <c r="G20" s="14">
        <f t="shared" si="0"/>
        <v>3.8987455197132612</v>
      </c>
      <c r="H20" s="4">
        <f t="shared" si="2"/>
        <v>32.347670250896059</v>
      </c>
      <c r="I20" s="22">
        <f>SUM($E$8:E20)</f>
        <v>4446</v>
      </c>
      <c r="J20" s="4">
        <f>SUM($F$8:F20)</f>
        <v>7155.1434240000008</v>
      </c>
    </row>
    <row r="21" spans="1:10" x14ac:dyDescent="0.3">
      <c r="A21" s="1">
        <v>43969</v>
      </c>
      <c r="B21" s="8">
        <v>38918</v>
      </c>
      <c r="C21" s="4">
        <v>10.98</v>
      </c>
      <c r="D21" s="12">
        <v>41.31</v>
      </c>
      <c r="E21" s="15">
        <f t="shared" si="3"/>
        <v>356</v>
      </c>
      <c r="F21" s="15">
        <f t="shared" si="1"/>
        <v>572.92646400000001</v>
      </c>
      <c r="G21" s="14">
        <f t="shared" si="0"/>
        <v>3.762295081967213</v>
      </c>
      <c r="H21" s="4">
        <f t="shared" si="2"/>
        <v>32.422586520947178</v>
      </c>
      <c r="I21" s="22">
        <f>SUM($E$8:E21)</f>
        <v>4802</v>
      </c>
      <c r="J21" s="4">
        <f>SUM($F$8:F21)</f>
        <v>7728.0698880000009</v>
      </c>
    </row>
    <row r="22" spans="1:10" x14ac:dyDescent="0.3">
      <c r="A22" s="1">
        <v>43986</v>
      </c>
      <c r="B22" s="8">
        <v>39275</v>
      </c>
      <c r="C22" s="4">
        <v>11.4</v>
      </c>
      <c r="D22" s="12">
        <v>41.08</v>
      </c>
      <c r="E22" s="15">
        <f t="shared" si="3"/>
        <v>357</v>
      </c>
      <c r="F22" s="15">
        <f t="shared" si="1"/>
        <v>574.53580799999997</v>
      </c>
      <c r="G22" s="14">
        <f t="shared" si="0"/>
        <v>3.6035087719298242</v>
      </c>
      <c r="H22" s="4">
        <f t="shared" si="2"/>
        <v>31.315789473684209</v>
      </c>
      <c r="I22" s="22">
        <f>SUM($E$8:E22)</f>
        <v>5159</v>
      </c>
      <c r="J22" s="4">
        <f>SUM($F$8:F22)</f>
        <v>8302.6056960000005</v>
      </c>
    </row>
    <row r="23" spans="1:10" x14ac:dyDescent="0.3">
      <c r="A23" s="1">
        <v>44001</v>
      </c>
      <c r="B23" s="8">
        <v>39642</v>
      </c>
      <c r="C23" s="4">
        <v>11.1</v>
      </c>
      <c r="D23" s="12">
        <v>39.51</v>
      </c>
      <c r="E23" s="15">
        <f t="shared" si="3"/>
        <v>367</v>
      </c>
      <c r="F23" s="15">
        <f t="shared" si="1"/>
        <v>590.62924800000008</v>
      </c>
      <c r="G23" s="14">
        <f t="shared" si="0"/>
        <v>3.5594594594594593</v>
      </c>
      <c r="H23" s="4">
        <f t="shared" si="2"/>
        <v>33.063063063063062</v>
      </c>
      <c r="I23" s="22">
        <f>SUM($E$8:E23)</f>
        <v>5526</v>
      </c>
      <c r="J23" s="4">
        <f>SUM($F$8:F23)</f>
        <v>8893.2349439999998</v>
      </c>
    </row>
    <row r="24" spans="1:10" x14ac:dyDescent="0.3">
      <c r="A24" s="1">
        <v>44014</v>
      </c>
      <c r="B24" s="8">
        <v>40011</v>
      </c>
      <c r="C24" s="4">
        <v>11.57</v>
      </c>
      <c r="D24" s="12">
        <v>39.299999999999997</v>
      </c>
      <c r="E24" s="15">
        <f t="shared" si="3"/>
        <v>369</v>
      </c>
      <c r="F24" s="15">
        <f t="shared" si="1"/>
        <v>593.847936</v>
      </c>
      <c r="G24" s="14">
        <f t="shared" si="0"/>
        <v>3.396715643906655</v>
      </c>
      <c r="H24" s="4">
        <f t="shared" si="2"/>
        <v>31.892826274848748</v>
      </c>
      <c r="I24" s="22">
        <f>SUM($E$8:E24)</f>
        <v>5895</v>
      </c>
      <c r="J24" s="4">
        <f>SUM($F$8:F24)</f>
        <v>9487.0828799999999</v>
      </c>
    </row>
    <row r="25" spans="1:10" x14ac:dyDescent="0.3">
      <c r="A25" s="1">
        <v>44024</v>
      </c>
      <c r="B25" s="8">
        <v>40378</v>
      </c>
      <c r="C25" s="4">
        <v>11.61</v>
      </c>
      <c r="D25" s="12">
        <v>40.159999999999997</v>
      </c>
      <c r="E25" s="15">
        <f t="shared" si="3"/>
        <v>367</v>
      </c>
      <c r="F25" s="15">
        <f t="shared" si="1"/>
        <v>590.62924800000008</v>
      </c>
      <c r="G25" s="14">
        <f t="shared" si="0"/>
        <v>3.4590869939707147</v>
      </c>
      <c r="H25" s="4">
        <f t="shared" si="2"/>
        <v>31.610680447889752</v>
      </c>
      <c r="I25" s="22">
        <f>SUM($E$8:E25)</f>
        <v>6262</v>
      </c>
      <c r="J25" s="4">
        <f>SUM($F$8:F25)</f>
        <v>10077.712127999999</v>
      </c>
    </row>
    <row r="26" spans="1:10" x14ac:dyDescent="0.3">
      <c r="A26" s="1">
        <v>44037</v>
      </c>
      <c r="B26" s="8">
        <v>40736</v>
      </c>
      <c r="C26" s="4">
        <v>11.11</v>
      </c>
      <c r="D26" s="12">
        <v>39.57</v>
      </c>
      <c r="E26" s="15">
        <f t="shared" si="3"/>
        <v>358</v>
      </c>
      <c r="F26" s="15">
        <f t="shared" si="1"/>
        <v>576.14515200000005</v>
      </c>
      <c r="G26" s="14">
        <f t="shared" si="0"/>
        <v>3.561656165616562</v>
      </c>
      <c r="H26" s="4">
        <f t="shared" si="2"/>
        <v>32.223222322232225</v>
      </c>
      <c r="I26" s="22">
        <f>SUM($E$8:E26)</f>
        <v>6620</v>
      </c>
      <c r="J26" s="4">
        <f>SUM($F$8:F26)</f>
        <v>10653.85728</v>
      </c>
    </row>
    <row r="27" spans="1:10" x14ac:dyDescent="0.3">
      <c r="A27" s="1">
        <v>44056</v>
      </c>
      <c r="B27" s="8">
        <v>41110</v>
      </c>
      <c r="C27" s="4">
        <v>11.72</v>
      </c>
      <c r="D27" s="12">
        <v>43.38</v>
      </c>
      <c r="E27" s="15">
        <f t="shared" si="3"/>
        <v>374</v>
      </c>
      <c r="F27" s="15">
        <f t="shared" si="1"/>
        <v>601.89465599999994</v>
      </c>
      <c r="G27" s="14">
        <f t="shared" si="0"/>
        <v>3.7013651877133107</v>
      </c>
      <c r="H27" s="4">
        <f t="shared" si="2"/>
        <v>31.911262798634812</v>
      </c>
      <c r="I27" s="22">
        <f>SUM($E$8:E27)</f>
        <v>6994</v>
      </c>
      <c r="J27" s="4">
        <f>SUM($F$8:F27)</f>
        <v>11255.751936000001</v>
      </c>
    </row>
    <row r="28" spans="1:10" x14ac:dyDescent="0.3">
      <c r="A28" s="1">
        <v>44065</v>
      </c>
      <c r="B28" s="8">
        <v>41495</v>
      </c>
      <c r="C28" s="4">
        <v>11.02</v>
      </c>
      <c r="D28" s="12">
        <v>40.76</v>
      </c>
      <c r="E28" s="15">
        <f t="shared" si="3"/>
        <v>385</v>
      </c>
      <c r="F28" s="15">
        <f t="shared" si="1"/>
        <v>619.59743999999989</v>
      </c>
      <c r="G28" s="14">
        <f t="shared" si="0"/>
        <v>3.6987295825771325</v>
      </c>
      <c r="H28" s="4">
        <f t="shared" si="2"/>
        <v>34.936479128856625</v>
      </c>
      <c r="I28" s="22">
        <f>SUM($E$8:E28)</f>
        <v>7379</v>
      </c>
      <c r="J28" s="4">
        <f>SUM($F$8:F28)</f>
        <v>11875.349376</v>
      </c>
    </row>
    <row r="29" spans="1:10" x14ac:dyDescent="0.3">
      <c r="A29" s="1">
        <v>44075</v>
      </c>
      <c r="B29" s="8">
        <v>41873</v>
      </c>
      <c r="C29" s="4">
        <v>11.08</v>
      </c>
      <c r="D29" s="12">
        <v>42.08</v>
      </c>
      <c r="E29" s="15">
        <f t="shared" si="3"/>
        <v>378</v>
      </c>
      <c r="F29" s="15">
        <f t="shared" si="1"/>
        <v>608.33203200000003</v>
      </c>
      <c r="G29" s="14">
        <f t="shared" si="0"/>
        <v>3.7978339350180503</v>
      </c>
      <c r="H29" s="4">
        <f t="shared" si="2"/>
        <v>34.115523465703973</v>
      </c>
      <c r="I29" s="22">
        <f>SUM($E$8:E29)</f>
        <v>7757</v>
      </c>
      <c r="J29" s="4">
        <f>SUM($F$8:F29)</f>
        <v>12483.681408</v>
      </c>
    </row>
    <row r="30" spans="1:10" x14ac:dyDescent="0.3">
      <c r="A30" s="1">
        <v>44087</v>
      </c>
      <c r="B30" s="8">
        <v>42232</v>
      </c>
      <c r="C30" s="4">
        <v>11.27</v>
      </c>
      <c r="D30" s="12">
        <v>44.65</v>
      </c>
      <c r="E30" s="15">
        <f t="shared" si="3"/>
        <v>359</v>
      </c>
      <c r="F30" s="15">
        <f t="shared" si="1"/>
        <v>577.75449600000002</v>
      </c>
      <c r="G30" s="14">
        <f t="shared" si="0"/>
        <v>3.9618456078083408</v>
      </c>
      <c r="H30" s="4">
        <f t="shared" si="2"/>
        <v>31.854480922803905</v>
      </c>
      <c r="I30" s="22">
        <f>SUM($E$8:E30)</f>
        <v>8116</v>
      </c>
      <c r="J30" s="4">
        <f>SUM($F$8:F30)</f>
        <v>13061.435904</v>
      </c>
    </row>
    <row r="31" spans="1:10" x14ac:dyDescent="0.3">
      <c r="A31" s="1">
        <v>44097</v>
      </c>
      <c r="B31" s="8">
        <v>42593</v>
      </c>
      <c r="C31" s="4">
        <v>11.09</v>
      </c>
      <c r="D31" s="12">
        <v>43.27</v>
      </c>
      <c r="E31" s="15">
        <f t="shared" si="3"/>
        <v>361</v>
      </c>
      <c r="F31" s="15">
        <f t="shared" si="1"/>
        <v>580.97318400000006</v>
      </c>
      <c r="G31" s="14">
        <f t="shared" si="0"/>
        <v>3.9017132551848515</v>
      </c>
      <c r="H31" s="4">
        <f t="shared" si="2"/>
        <v>32.55184851217313</v>
      </c>
      <c r="I31" s="22">
        <f>SUM($E$8:E31)</f>
        <v>8477</v>
      </c>
      <c r="J31" s="4">
        <f>SUM($F$8:F31)</f>
        <v>13642.409088</v>
      </c>
    </row>
    <row r="32" spans="1:10" x14ac:dyDescent="0.3">
      <c r="A32" s="1">
        <v>44109</v>
      </c>
      <c r="B32" s="8">
        <v>42967</v>
      </c>
      <c r="C32" s="4">
        <v>11.47</v>
      </c>
      <c r="D32" s="12">
        <v>44.73</v>
      </c>
      <c r="E32" s="15">
        <f t="shared" si="3"/>
        <v>374</v>
      </c>
      <c r="F32" s="15">
        <f t="shared" si="1"/>
        <v>601.89465599999994</v>
      </c>
      <c r="G32" s="14">
        <f t="shared" si="0"/>
        <v>3.8997384481255444</v>
      </c>
      <c r="H32" s="4">
        <f t="shared" si="2"/>
        <v>32.606800348735831</v>
      </c>
      <c r="I32" s="22">
        <f>SUM($E$8:E32)</f>
        <v>8851</v>
      </c>
      <c r="J32" s="4">
        <f>SUM($F$8:F32)</f>
        <v>14244.303744000001</v>
      </c>
    </row>
    <row r="33" spans="1:10" x14ac:dyDescent="0.3">
      <c r="A33" s="1">
        <v>44121</v>
      </c>
      <c r="B33" s="8">
        <v>43311</v>
      </c>
      <c r="C33" s="4">
        <v>11.07</v>
      </c>
      <c r="D33" s="12">
        <v>41.6</v>
      </c>
      <c r="E33" s="15">
        <f t="shared" si="3"/>
        <v>344</v>
      </c>
      <c r="F33" s="15">
        <f t="shared" si="1"/>
        <v>553.61433599999998</v>
      </c>
      <c r="G33" s="14">
        <f t="shared" si="0"/>
        <v>3.7579042457091236</v>
      </c>
      <c r="H33" s="4">
        <f t="shared" si="2"/>
        <v>31.074977416440831</v>
      </c>
      <c r="I33" s="22">
        <f>SUM($E$8:E33)</f>
        <v>9195</v>
      </c>
      <c r="J33" s="4">
        <f>SUM($F$8:F33)</f>
        <v>14797.918080000001</v>
      </c>
    </row>
    <row r="34" spans="1:10" x14ac:dyDescent="0.3">
      <c r="A34" s="1">
        <v>44132</v>
      </c>
      <c r="B34" s="8">
        <v>43684</v>
      </c>
      <c r="C34" s="4">
        <v>11.6</v>
      </c>
      <c r="D34" s="12">
        <v>42.47</v>
      </c>
      <c r="E34" s="15">
        <f t="shared" si="3"/>
        <v>373</v>
      </c>
      <c r="F34" s="15">
        <f t="shared" si="1"/>
        <v>600.28531200000009</v>
      </c>
      <c r="G34" s="14">
        <f t="shared" si="0"/>
        <v>3.6612068965517239</v>
      </c>
      <c r="H34" s="4">
        <f t="shared" si="2"/>
        <v>32.155172413793103</v>
      </c>
      <c r="I34" s="22">
        <f>SUM($E$8:E34)</f>
        <v>9568</v>
      </c>
      <c r="J34" s="4">
        <f>SUM($F$8:F34)</f>
        <v>15398.203392000001</v>
      </c>
    </row>
    <row r="35" spans="1:10" x14ac:dyDescent="0.3">
      <c r="A35" s="1">
        <v>44144</v>
      </c>
      <c r="B35" s="8">
        <v>44029</v>
      </c>
      <c r="C35" s="4">
        <v>11.64</v>
      </c>
      <c r="D35" s="12">
        <v>42.6</v>
      </c>
      <c r="E35" s="15">
        <f t="shared" si="3"/>
        <v>345</v>
      </c>
      <c r="F35" s="15">
        <f t="shared" si="1"/>
        <v>555.22368000000006</v>
      </c>
      <c r="G35" s="14">
        <f t="shared" si="0"/>
        <v>3.6597938144329896</v>
      </c>
      <c r="H35" s="4">
        <f t="shared" si="2"/>
        <v>29.639175257731956</v>
      </c>
      <c r="I35" s="22">
        <f>SUM($E$8:E35)</f>
        <v>9913</v>
      </c>
      <c r="J35" s="4">
        <f>SUM($F$8:F35)</f>
        <v>15953.427072000002</v>
      </c>
    </row>
    <row r="36" spans="1:10" x14ac:dyDescent="0.3">
      <c r="A36" s="1">
        <v>44163</v>
      </c>
      <c r="B36" s="8">
        <v>44374</v>
      </c>
      <c r="C36" s="4">
        <v>11.12</v>
      </c>
      <c r="D36" s="12">
        <v>40.700000000000003</v>
      </c>
      <c r="E36" s="15">
        <f t="shared" si="3"/>
        <v>345</v>
      </c>
      <c r="F36" s="15">
        <f t="shared" si="1"/>
        <v>555.22368000000006</v>
      </c>
      <c r="G36" s="14">
        <f t="shared" si="0"/>
        <v>3.6600719424460437</v>
      </c>
      <c r="H36" s="4">
        <f t="shared" si="2"/>
        <v>31.025179856115109</v>
      </c>
      <c r="I36" s="22">
        <f>SUM($E$8:E36)</f>
        <v>10258</v>
      </c>
      <c r="J36" s="4">
        <f>SUM($F$8:F36)</f>
        <v>16508.650752000001</v>
      </c>
    </row>
    <row r="37" spans="1:10" x14ac:dyDescent="0.3">
      <c r="A37" s="1">
        <v>44173</v>
      </c>
      <c r="B37" s="8">
        <v>44721</v>
      </c>
      <c r="C37" s="4">
        <v>11.06</v>
      </c>
      <c r="D37" s="12">
        <v>38.72</v>
      </c>
      <c r="E37" s="15">
        <f t="shared" si="3"/>
        <v>347</v>
      </c>
      <c r="F37" s="15">
        <f t="shared" si="1"/>
        <v>558.44236799999999</v>
      </c>
      <c r="G37" s="14">
        <f t="shared" si="0"/>
        <v>3.5009041591320069</v>
      </c>
      <c r="H37" s="4">
        <f t="shared" si="2"/>
        <v>31.374321880650992</v>
      </c>
      <c r="I37" s="22">
        <f>SUM($E$8:E37)</f>
        <v>10605</v>
      </c>
      <c r="J37" s="4">
        <f>SUM($F$8:F37)</f>
        <v>17067.093120000001</v>
      </c>
    </row>
    <row r="38" spans="1:10" ht="15" customHeight="1" x14ac:dyDescent="0.3">
      <c r="A38" s="1">
        <v>44181</v>
      </c>
      <c r="B38" s="8">
        <v>45039</v>
      </c>
      <c r="C38" s="4">
        <v>10.89</v>
      </c>
      <c r="D38" s="12">
        <v>37</v>
      </c>
      <c r="E38" s="15">
        <f t="shared" si="3"/>
        <v>318</v>
      </c>
      <c r="F38" s="15">
        <f t="shared" si="1"/>
        <v>511.77139199999999</v>
      </c>
      <c r="G38" s="14">
        <f t="shared" si="0"/>
        <v>3.3976124885215793</v>
      </c>
      <c r="H38" s="4">
        <f t="shared" si="2"/>
        <v>29.201101928374655</v>
      </c>
      <c r="I38" s="22">
        <f>SUM($E$8:E38)</f>
        <v>10923</v>
      </c>
      <c r="J38" s="4">
        <f>SUM($F$8:F38)</f>
        <v>17578.864512</v>
      </c>
    </row>
    <row r="39" spans="1:10" ht="15" customHeight="1" x14ac:dyDescent="0.3">
      <c r="A39"/>
      <c r="B39"/>
      <c r="C39"/>
      <c r="D39"/>
      <c r="E39" s="4"/>
      <c r="F39" s="4"/>
    </row>
    <row r="40" spans="1:10" ht="15" customHeight="1" x14ac:dyDescent="0.3">
      <c r="A40"/>
      <c r="B40"/>
      <c r="C40"/>
      <c r="D40" s="14">
        <f>SUM(D8:D38)</f>
        <v>1270.9199999999998</v>
      </c>
      <c r="E40" s="4">
        <f>SUM(E8:E38)</f>
        <v>10923</v>
      </c>
      <c r="F40" s="4">
        <f>SUM(F8:F38)</f>
        <v>17578.864512</v>
      </c>
      <c r="I40" s="22">
        <f>SUM(I8:I38)</f>
        <v>173169</v>
      </c>
      <c r="J40" s="4">
        <f>SUM(J8:J38)</f>
        <v>278688.49113600003</v>
      </c>
    </row>
    <row r="41" spans="1:10" ht="15" customHeight="1" x14ac:dyDescent="0.3">
      <c r="A41"/>
      <c r="B41"/>
      <c r="C41"/>
      <c r="D41"/>
      <c r="E41" s="4"/>
      <c r="F41" s="4"/>
    </row>
    <row r="42" spans="1:10" ht="30" customHeight="1" x14ac:dyDescent="0.3">
      <c r="A42"/>
      <c r="B42"/>
      <c r="C42"/>
      <c r="D42"/>
      <c r="E42" s="4"/>
      <c r="F42" s="4"/>
    </row>
    <row r="43" spans="1:10" x14ac:dyDescent="0.3">
      <c r="A43"/>
      <c r="B43"/>
      <c r="C43"/>
      <c r="D43"/>
      <c r="E43" s="4"/>
      <c r="F43" s="4"/>
    </row>
    <row r="44" spans="1:10" x14ac:dyDescent="0.3">
      <c r="A44"/>
      <c r="B44"/>
      <c r="C44"/>
      <c r="D44"/>
      <c r="E44" s="4"/>
      <c r="F44" s="4"/>
    </row>
  </sheetData>
  <pageMargins left="0.7" right="0.7" top="0.75" bottom="0.75" header="0.3" footer="0.3"/>
  <pageSetup paperSize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FB1CD-DA8D-436C-84A5-94DB99F2051D}">
  <sheetPr codeName="Sheet3"/>
  <dimension ref="A3:D11"/>
  <sheetViews>
    <sheetView workbookViewId="0">
      <selection activeCell="A10" sqref="A10"/>
    </sheetView>
  </sheetViews>
  <sheetFormatPr defaultRowHeight="14.4" x14ac:dyDescent="0.3"/>
  <cols>
    <col min="1" max="1" width="14.33203125" bestFit="1" customWidth="1"/>
    <col min="2" max="2" width="23.77734375" style="40" bestFit="1" customWidth="1"/>
    <col min="3" max="3" width="8" bestFit="1" customWidth="1"/>
    <col min="4" max="4" width="7.109375" bestFit="1" customWidth="1"/>
    <col min="6" max="6" width="16.44140625" bestFit="1" customWidth="1"/>
  </cols>
  <sheetData>
    <row r="3" spans="1:4" x14ac:dyDescent="0.3">
      <c r="A3" s="18" t="s">
        <v>41</v>
      </c>
      <c r="B3" s="4" t="s">
        <v>25</v>
      </c>
      <c r="C3" t="s">
        <v>3</v>
      </c>
      <c r="D3" t="s">
        <v>2</v>
      </c>
    </row>
    <row r="4" spans="1:4" x14ac:dyDescent="0.3">
      <c r="A4" s="19" t="s">
        <v>32</v>
      </c>
      <c r="B4" s="4">
        <v>3408</v>
      </c>
      <c r="C4" s="20">
        <v>396.7</v>
      </c>
      <c r="D4" s="20">
        <v>109.13000000000001</v>
      </c>
    </row>
    <row r="5" spans="1:4" x14ac:dyDescent="0.3">
      <c r="A5" s="19" t="s">
        <v>33</v>
      </c>
      <c r="B5" s="4">
        <v>2118</v>
      </c>
      <c r="C5" s="20">
        <v>253.22999999999996</v>
      </c>
      <c r="D5" s="20">
        <v>66.740000000000009</v>
      </c>
    </row>
    <row r="6" spans="1:4" x14ac:dyDescent="0.3">
      <c r="A6" s="19" t="s">
        <v>34</v>
      </c>
      <c r="B6" s="4">
        <v>2951</v>
      </c>
      <c r="C6" s="20">
        <v>333.16999999999996</v>
      </c>
      <c r="D6" s="20">
        <v>90.47</v>
      </c>
    </row>
    <row r="7" spans="1:4" x14ac:dyDescent="0.3">
      <c r="A7" s="19" t="s">
        <v>35</v>
      </c>
      <c r="B7" s="4">
        <v>2446</v>
      </c>
      <c r="C7" s="20">
        <v>287.82000000000005</v>
      </c>
      <c r="D7" s="20">
        <v>78.849999999999994</v>
      </c>
    </row>
    <row r="8" spans="1:4" x14ac:dyDescent="0.3">
      <c r="A8" s="19" t="s">
        <v>11</v>
      </c>
      <c r="B8" s="4">
        <v>10923</v>
      </c>
      <c r="C8" s="20">
        <v>1270.9199999999998</v>
      </c>
      <c r="D8" s="20">
        <v>345.19</v>
      </c>
    </row>
    <row r="9" spans="1:4" x14ac:dyDescent="0.3">
      <c r="A9" s="48" t="s">
        <v>53</v>
      </c>
      <c r="B9" s="49">
        <f>AVERAGE(B4:B7)</f>
        <v>2730.75</v>
      </c>
      <c r="C9" s="50">
        <f>AVERAGE(C4:C7)</f>
        <v>317.73</v>
      </c>
      <c r="D9" s="50">
        <f>AVERAGE(D4:D7)</f>
        <v>86.297500000000014</v>
      </c>
    </row>
    <row r="10" spans="1:4" x14ac:dyDescent="0.3">
      <c r="A10" s="19"/>
      <c r="B10" s="19"/>
      <c r="C10" s="19"/>
      <c r="D10" s="19"/>
    </row>
    <row r="11" spans="1:4" x14ac:dyDescent="0.3">
      <c r="A11" s="19"/>
      <c r="B11" s="19"/>
      <c r="C11" s="19"/>
      <c r="D11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954F8-DEF5-419A-8926-DA093CD0D8EA}">
  <sheetPr codeName="Sheet4"/>
  <dimension ref="A5:D19"/>
  <sheetViews>
    <sheetView topLeftCell="A3" workbookViewId="0">
      <selection activeCell="H6" sqref="H6"/>
    </sheetView>
  </sheetViews>
  <sheetFormatPr defaultRowHeight="14.4" x14ac:dyDescent="0.3"/>
  <cols>
    <col min="1" max="1" width="13.77734375" bestFit="1" customWidth="1"/>
    <col min="2" max="2" width="23.77734375" bestFit="1" customWidth="1"/>
    <col min="3" max="3" width="24.33203125" bestFit="1" customWidth="1"/>
    <col min="4" max="4" width="24" bestFit="1" customWidth="1"/>
    <col min="5" max="5" width="12.5546875" bestFit="1" customWidth="1"/>
  </cols>
  <sheetData>
    <row r="5" spans="1:4" x14ac:dyDescent="0.3">
      <c r="A5" s="18" t="s">
        <v>10</v>
      </c>
      <c r="B5" t="s">
        <v>25</v>
      </c>
      <c r="C5" t="s">
        <v>44</v>
      </c>
      <c r="D5" t="s">
        <v>45</v>
      </c>
    </row>
    <row r="6" spans="1:4" x14ac:dyDescent="0.3">
      <c r="A6" s="19" t="s">
        <v>12</v>
      </c>
      <c r="B6" s="20"/>
      <c r="C6" s="20"/>
      <c r="D6" s="20"/>
    </row>
    <row r="7" spans="1:4" x14ac:dyDescent="0.3">
      <c r="A7" s="19" t="s">
        <v>13</v>
      </c>
      <c r="B7" s="20">
        <v>1353</v>
      </c>
      <c r="C7" s="20">
        <v>30.696380785820423</v>
      </c>
      <c r="D7" s="20">
        <v>3.4900638567038396</v>
      </c>
    </row>
    <row r="8" spans="1:4" x14ac:dyDescent="0.3">
      <c r="A8" s="19" t="s">
        <v>14</v>
      </c>
      <c r="B8" s="20">
        <v>677</v>
      </c>
      <c r="C8" s="20">
        <v>30.054888764549659</v>
      </c>
      <c r="D8" s="20">
        <v>3.5504338300773091</v>
      </c>
    </row>
    <row r="9" spans="1:4" x14ac:dyDescent="0.3">
      <c r="A9" s="19" t="s">
        <v>15</v>
      </c>
      <c r="B9" s="20">
        <v>1378</v>
      </c>
      <c r="C9" s="20">
        <v>32.396786342777418</v>
      </c>
      <c r="D9" s="20">
        <v>3.829560764212026</v>
      </c>
    </row>
    <row r="10" spans="1:4" x14ac:dyDescent="0.3">
      <c r="A10" s="19" t="s">
        <v>16</v>
      </c>
      <c r="B10" s="20">
        <v>677</v>
      </c>
      <c r="C10" s="20">
        <v>30.635622964072667</v>
      </c>
      <c r="D10" s="20">
        <v>3.9740376007162039</v>
      </c>
    </row>
    <row r="11" spans="1:4" x14ac:dyDescent="0.3">
      <c r="A11" s="19" t="s">
        <v>17</v>
      </c>
      <c r="B11" s="20">
        <v>717</v>
      </c>
      <c r="C11" s="20">
        <v>32.385128385921618</v>
      </c>
      <c r="D11" s="20">
        <v>3.8305203008402371</v>
      </c>
    </row>
    <row r="12" spans="1:4" x14ac:dyDescent="0.3">
      <c r="A12" s="19" t="s">
        <v>18</v>
      </c>
      <c r="B12" s="20">
        <v>724</v>
      </c>
      <c r="C12" s="20">
        <v>32.189426268373637</v>
      </c>
      <c r="D12" s="20">
        <v>3.581484115694642</v>
      </c>
    </row>
    <row r="13" spans="1:4" x14ac:dyDescent="0.3">
      <c r="A13" s="19" t="s">
        <v>19</v>
      </c>
      <c r="B13" s="20">
        <v>1094</v>
      </c>
      <c r="C13" s="20">
        <v>31.908909681656908</v>
      </c>
      <c r="D13" s="20">
        <v>3.4724862678313104</v>
      </c>
    </row>
    <row r="14" spans="1:4" x14ac:dyDescent="0.3">
      <c r="A14" s="19" t="s">
        <v>20</v>
      </c>
      <c r="B14" s="20">
        <v>759</v>
      </c>
      <c r="C14" s="20">
        <v>33.423870963745721</v>
      </c>
      <c r="D14" s="20">
        <v>3.7000473851452216</v>
      </c>
    </row>
    <row r="15" spans="1:4" x14ac:dyDescent="0.3">
      <c r="A15" s="19" t="s">
        <v>21</v>
      </c>
      <c r="B15" s="20">
        <v>1098</v>
      </c>
      <c r="C15" s="20">
        <v>32.840617633560335</v>
      </c>
      <c r="D15" s="20">
        <v>3.8871309326704142</v>
      </c>
    </row>
    <row r="16" spans="1:4" x14ac:dyDescent="0.3">
      <c r="A16" s="19" t="s">
        <v>22</v>
      </c>
      <c r="B16" s="20">
        <v>1091</v>
      </c>
      <c r="C16" s="20">
        <v>31.94565005965659</v>
      </c>
      <c r="D16" s="20">
        <v>3.7729498634621308</v>
      </c>
    </row>
    <row r="17" spans="1:4" x14ac:dyDescent="0.3">
      <c r="A17" s="19" t="s">
        <v>23</v>
      </c>
      <c r="B17" s="20">
        <v>690</v>
      </c>
      <c r="C17" s="20">
        <v>30.332177556923533</v>
      </c>
      <c r="D17" s="20">
        <v>3.6599328784395166</v>
      </c>
    </row>
    <row r="18" spans="1:4" x14ac:dyDescent="0.3">
      <c r="A18" s="19" t="s">
        <v>24</v>
      </c>
      <c r="B18" s="20">
        <v>665</v>
      </c>
      <c r="C18" s="20">
        <v>30.287711904512825</v>
      </c>
      <c r="D18" s="20">
        <v>3.4492583238267933</v>
      </c>
    </row>
    <row r="19" spans="1:4" x14ac:dyDescent="0.3">
      <c r="A19" s="19" t="s">
        <v>11</v>
      </c>
      <c r="B19" s="20">
        <v>10923</v>
      </c>
      <c r="C19" s="20">
        <v>31.647608201781036</v>
      </c>
      <c r="D19" s="20">
        <v>3.6828267272591884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B5CFE-10BB-4C8D-8266-2A247D8C539D}">
  <sheetPr codeName="Sheet5"/>
  <dimension ref="A1:F14"/>
  <sheetViews>
    <sheetView workbookViewId="0">
      <selection activeCell="H6" sqref="H6"/>
    </sheetView>
  </sheetViews>
  <sheetFormatPr defaultRowHeight="14.4" x14ac:dyDescent="0.3"/>
  <cols>
    <col min="1" max="1" width="12.5546875" bestFit="1" customWidth="1"/>
    <col min="2" max="2" width="13.6640625" bestFit="1" customWidth="1"/>
    <col min="3" max="3" width="11.109375" bestFit="1" customWidth="1"/>
    <col min="4" max="4" width="23.77734375" bestFit="1" customWidth="1"/>
    <col min="5" max="5" width="24" bestFit="1" customWidth="1"/>
    <col min="6" max="6" width="24.33203125" bestFit="1" customWidth="1"/>
  </cols>
  <sheetData>
    <row r="1" spans="1:6" x14ac:dyDescent="0.3">
      <c r="A1" s="18" t="s">
        <v>10</v>
      </c>
      <c r="B1" t="s">
        <v>30</v>
      </c>
      <c r="C1" t="s">
        <v>29</v>
      </c>
      <c r="D1" t="s">
        <v>25</v>
      </c>
      <c r="E1" t="s">
        <v>45</v>
      </c>
      <c r="F1" t="s">
        <v>44</v>
      </c>
    </row>
    <row r="2" spans="1:6" x14ac:dyDescent="0.3">
      <c r="A2" s="19" t="s">
        <v>13</v>
      </c>
      <c r="B2" s="20">
        <v>44.06</v>
      </c>
      <c r="C2" s="20">
        <v>153.72999999999999</v>
      </c>
      <c r="D2" s="20">
        <v>1353</v>
      </c>
      <c r="E2" s="20">
        <v>3.4900638567038396</v>
      </c>
      <c r="F2" s="20">
        <v>30.696380785820423</v>
      </c>
    </row>
    <row r="3" spans="1:6" x14ac:dyDescent="0.3">
      <c r="A3" s="19" t="s">
        <v>14</v>
      </c>
      <c r="B3" s="20">
        <v>22.53</v>
      </c>
      <c r="C3" s="20">
        <v>80</v>
      </c>
      <c r="D3" s="20">
        <v>677</v>
      </c>
      <c r="E3" s="20">
        <v>3.5504338300773091</v>
      </c>
      <c r="F3" s="20">
        <v>30.054888764549659</v>
      </c>
    </row>
    <row r="4" spans="1:6" x14ac:dyDescent="0.3">
      <c r="A4" s="19" t="s">
        <v>15</v>
      </c>
      <c r="B4" s="20">
        <v>42.539999999999992</v>
      </c>
      <c r="C4" s="20">
        <v>162.97000000000003</v>
      </c>
      <c r="D4" s="20">
        <v>1378</v>
      </c>
      <c r="E4" s="20">
        <v>3.829560764212026</v>
      </c>
      <c r="F4" s="20">
        <v>32.396786342777418</v>
      </c>
    </row>
    <row r="5" spans="1:6" x14ac:dyDescent="0.3">
      <c r="A5" s="19" t="s">
        <v>16</v>
      </c>
      <c r="B5" s="20">
        <v>22.1</v>
      </c>
      <c r="C5" s="20">
        <v>87.82</v>
      </c>
      <c r="D5" s="20">
        <v>677</v>
      </c>
      <c r="E5" s="20">
        <v>3.9740376007162039</v>
      </c>
      <c r="F5" s="20">
        <v>30.635622964072667</v>
      </c>
    </row>
    <row r="6" spans="1:6" x14ac:dyDescent="0.3">
      <c r="A6" s="19" t="s">
        <v>17</v>
      </c>
      <c r="B6" s="20">
        <v>22.14</v>
      </c>
      <c r="C6" s="20">
        <v>84.82</v>
      </c>
      <c r="D6" s="20">
        <v>717</v>
      </c>
      <c r="E6" s="20">
        <v>3.8305203008402371</v>
      </c>
      <c r="F6" s="20">
        <v>32.385128385921618</v>
      </c>
    </row>
    <row r="7" spans="1:6" x14ac:dyDescent="0.3">
      <c r="A7" s="19" t="s">
        <v>18</v>
      </c>
      <c r="B7" s="20">
        <v>22.5</v>
      </c>
      <c r="C7" s="20">
        <v>80.59</v>
      </c>
      <c r="D7" s="20">
        <v>724</v>
      </c>
      <c r="E7" s="20">
        <v>3.581484115694642</v>
      </c>
      <c r="F7" s="20">
        <v>32.189426268373637</v>
      </c>
    </row>
    <row r="8" spans="1:6" x14ac:dyDescent="0.3">
      <c r="A8" s="19" t="s">
        <v>19</v>
      </c>
      <c r="B8" s="20">
        <v>34.29</v>
      </c>
      <c r="C8" s="20">
        <v>119.03</v>
      </c>
      <c r="D8" s="20">
        <v>1094</v>
      </c>
      <c r="E8" s="20">
        <v>3.4724862678313104</v>
      </c>
      <c r="F8" s="20">
        <v>31.908909681656908</v>
      </c>
    </row>
    <row r="9" spans="1:6" x14ac:dyDescent="0.3">
      <c r="A9" s="19" t="s">
        <v>20</v>
      </c>
      <c r="B9" s="20">
        <v>22.740000000000002</v>
      </c>
      <c r="C9" s="20">
        <v>84.14</v>
      </c>
      <c r="D9" s="20">
        <v>759</v>
      </c>
      <c r="E9" s="20">
        <v>3.7000473851452216</v>
      </c>
      <c r="F9" s="20">
        <v>33.423870963745721</v>
      </c>
    </row>
    <row r="10" spans="1:6" x14ac:dyDescent="0.3">
      <c r="A10" s="19" t="s">
        <v>21</v>
      </c>
      <c r="B10" s="20">
        <v>33.44</v>
      </c>
      <c r="C10" s="20">
        <v>130</v>
      </c>
      <c r="D10" s="20">
        <v>1098</v>
      </c>
      <c r="E10" s="20">
        <v>3.8871309326704142</v>
      </c>
      <c r="F10" s="20">
        <v>32.840617633560335</v>
      </c>
    </row>
    <row r="11" spans="1:6" x14ac:dyDescent="0.3">
      <c r="A11" s="19" t="s">
        <v>22</v>
      </c>
      <c r="B11" s="20">
        <v>34.14</v>
      </c>
      <c r="C11" s="20">
        <v>128.80000000000001</v>
      </c>
      <c r="D11" s="20">
        <v>1091</v>
      </c>
      <c r="E11" s="20">
        <v>3.7729498634621308</v>
      </c>
      <c r="F11" s="20">
        <v>31.94565005965659</v>
      </c>
    </row>
    <row r="12" spans="1:6" x14ac:dyDescent="0.3">
      <c r="A12" s="19" t="s">
        <v>23</v>
      </c>
      <c r="B12" s="20">
        <v>22.759999999999998</v>
      </c>
      <c r="C12" s="20">
        <v>83.300000000000011</v>
      </c>
      <c r="D12" s="20">
        <v>690</v>
      </c>
      <c r="E12" s="20">
        <v>3.6599328784395166</v>
      </c>
      <c r="F12" s="20">
        <v>30.332177556923533</v>
      </c>
    </row>
    <row r="13" spans="1:6" x14ac:dyDescent="0.3">
      <c r="A13" s="19" t="s">
        <v>24</v>
      </c>
      <c r="B13" s="20">
        <v>21.950000000000003</v>
      </c>
      <c r="C13" s="20">
        <v>75.72</v>
      </c>
      <c r="D13" s="20">
        <v>665</v>
      </c>
      <c r="E13" s="20">
        <v>3.4492583238267933</v>
      </c>
      <c r="F13" s="20">
        <v>30.287711904512825</v>
      </c>
    </row>
    <row r="14" spans="1:6" x14ac:dyDescent="0.3">
      <c r="A14" s="19" t="s">
        <v>11</v>
      </c>
      <c r="B14" s="20">
        <v>345.19</v>
      </c>
      <c r="C14" s="20">
        <v>1270.9199999999998</v>
      </c>
      <c r="D14" s="20">
        <v>10923</v>
      </c>
      <c r="E14" s="20">
        <v>3.6828267272591884</v>
      </c>
      <c r="F14" s="20">
        <v>31.647608201781036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�� 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�� 
</file>

<file path=customXml/item7.xml>�� 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6213C7F00D2FA44A52F7C5D01884A45" ma:contentTypeVersion="4" ma:contentTypeDescription="Create a new document." ma:contentTypeScope="" ma:versionID="6d1d369f342dfb3f05ade4bc9b9ec26b">
  <xsd:schema xmlns:xsd="http://www.w3.org/2001/XMLSchema" xmlns:xs="http://www.w3.org/2001/XMLSchema" xmlns:p="http://schemas.microsoft.com/office/2006/metadata/properties" xmlns:ns2="428df2f8-eb1a-4047-8634-6246a6ad9967" targetNamespace="http://schemas.microsoft.com/office/2006/metadata/properties" ma:root="true" ma:fieldsID="369e2f90a95051ec816c1a589780ee3f" ns2:_="">
    <xsd:import namespace="428df2f8-eb1a-4047-8634-6246a6ad996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8df2f8-eb1a-4047-8634-6246a6ad99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53F7E74-1101-4BDA-91D4-C5313B0C48D6}">
  <ds:schemaRefs/>
</ds:datastoreItem>
</file>

<file path=customXml/itemProps2.xml><?xml version="1.0" encoding="utf-8"?>
<ds:datastoreItem xmlns:ds="http://schemas.openxmlformats.org/officeDocument/2006/customXml" ds:itemID="{0BC7688A-48BC-43F9-86AB-98D95C33B598}">
  <ds:schemaRefs/>
</ds:datastoreItem>
</file>

<file path=customXml/itemProps3.xml><?xml version="1.0" encoding="utf-8"?>
<ds:datastoreItem xmlns:ds="http://schemas.openxmlformats.org/officeDocument/2006/customXml" ds:itemID="{90916A13-E5B3-4BD7-A043-022EE1BC1B8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C870E57A-5F4B-4B02-A061-A4CC896D6E8F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141F6AD9-733C-4D23-A8D0-A7F3642AA846}">
  <ds:schemaRefs/>
</ds:datastoreItem>
</file>

<file path=customXml/itemProps6.xml><?xml version="1.0" encoding="utf-8"?>
<ds:datastoreItem xmlns:ds="http://schemas.openxmlformats.org/officeDocument/2006/customXml" ds:itemID="{11A023FE-7828-4306-BAC7-1A1A1ECA299A}">
  <ds:schemaRefs/>
</ds:datastoreItem>
</file>

<file path=customXml/itemProps7.xml><?xml version="1.0" encoding="utf-8"?>
<ds:datastoreItem xmlns:ds="http://schemas.openxmlformats.org/officeDocument/2006/customXml" ds:itemID="{94A04E9D-21A4-46D7-9084-EBB8972A276E}">
  <ds:schemaRefs/>
</ds:datastoreItem>
</file>

<file path=customXml/itemProps8.xml><?xml version="1.0" encoding="utf-8"?>
<ds:datastoreItem xmlns:ds="http://schemas.openxmlformats.org/officeDocument/2006/customXml" ds:itemID="{73070909-6546-40ED-A1A9-72969E1D42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8df2f8-eb1a-4047-8634-6246a6ad99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Dashboard</vt:lpstr>
      <vt:lpstr>Data</vt:lpstr>
      <vt:lpstr>Quarterly Calculations</vt:lpstr>
      <vt:lpstr>Year Calculations</vt:lpstr>
      <vt:lpstr>Timeline PivotTable</vt:lpstr>
      <vt:lpstr>Data_Table</vt:lpstr>
      <vt:lpstr>Date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Timothy J Parenti</dc:creator>
  <cp:keywords/>
  <dc:description/>
  <cp:lastModifiedBy>Jess Mussett</cp:lastModifiedBy>
  <cp:revision/>
  <dcterms:created xsi:type="dcterms:W3CDTF">2013-02-18T00:07:00Z</dcterms:created>
  <dcterms:modified xsi:type="dcterms:W3CDTF">2022-03-30T14:45:29Z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0x01010096213C7F00D2FA44A52F7C5D01884A45</vt:lpwstr>
  </property>
  <property fmtid="{D5CDD505-2E9C-101B-9397-08002B2CF9AE}" pid="3" name="Order">
    <vt:r8>144100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ComplianceAssetId">
    <vt:lpwstr/>
  </property>
  <property fmtid="{D5CDD505-2E9C-101B-9397-08002B2CF9AE}" pid="8" name="TemplateUrl">
    <vt:lpwstr/>
  </property>
</Properties>
</file>